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n\Downloads\DAY22_TRACK1_AITHUCCHIEN\"/>
    </mc:Choice>
  </mc:AlternateContent>
  <xr:revisionPtr revIDLastSave="0" documentId="13_ncr:1_{06474D1E-05AA-4277-A64C-E4BFA7425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  <sheet name="7_Stress_Test" sheetId="8" r:id="rId8"/>
    <sheet name="8_AI_Critique_Lo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8" l="1"/>
  <c r="D18" i="8"/>
  <c r="D17" i="8"/>
  <c r="D16" i="8"/>
  <c r="F11" i="8"/>
  <c r="F10" i="8"/>
  <c r="F9" i="8"/>
  <c r="F8" i="8"/>
  <c r="F7" i="8"/>
  <c r="F6" i="8"/>
  <c r="D34" i="5"/>
  <c r="C34" i="5"/>
  <c r="B34" i="5"/>
  <c r="B35" i="5" s="1"/>
  <c r="B22" i="5"/>
  <c r="B8" i="5"/>
  <c r="B18" i="4"/>
  <c r="B10" i="4"/>
  <c r="B21" i="4" s="1"/>
  <c r="B34" i="3"/>
  <c r="B31" i="3"/>
  <c r="B19" i="3"/>
  <c r="B14" i="3"/>
  <c r="B10" i="3"/>
  <c r="B77" i="2"/>
  <c r="B64" i="2"/>
  <c r="B55" i="2"/>
  <c r="B50" i="2"/>
  <c r="B30" i="3" s="1"/>
  <c r="G6" i="8" s="1"/>
  <c r="H6" i="8" s="1"/>
  <c r="I6" i="8" s="1"/>
  <c r="B43" i="2"/>
  <c r="B74" i="2" s="1"/>
  <c r="B38" i="2"/>
  <c r="B73" i="2" s="1"/>
  <c r="B26" i="2"/>
  <c r="B28" i="2" s="1"/>
  <c r="B25" i="2"/>
  <c r="B24" i="2"/>
  <c r="B23" i="2"/>
  <c r="B27" i="2" s="1"/>
  <c r="B11" i="2"/>
  <c r="B5" i="5" s="1"/>
  <c r="G11" i="8" l="1"/>
  <c r="H11" i="8" s="1"/>
  <c r="I11" i="8" s="1"/>
  <c r="G10" i="8"/>
  <c r="H10" i="8" s="1"/>
  <c r="I10" i="8" s="1"/>
  <c r="G9" i="8"/>
  <c r="H9" i="8" s="1"/>
  <c r="I9" i="8" s="1"/>
  <c r="G8" i="8"/>
  <c r="H8" i="8" s="1"/>
  <c r="I8" i="8" s="1"/>
  <c r="G7" i="8"/>
  <c r="H7" i="8" s="1"/>
  <c r="I7" i="8" s="1"/>
  <c r="B24" i="8"/>
  <c r="B51" i="3"/>
  <c r="B29" i="2"/>
  <c r="B31" i="2"/>
  <c r="B10" i="5"/>
  <c r="B15" i="5" s="1"/>
  <c r="B16" i="5" s="1"/>
  <c r="B17" i="5" s="1"/>
  <c r="B45" i="8"/>
  <c r="B46" i="8" s="1"/>
  <c r="B23" i="8"/>
  <c r="B22" i="8"/>
  <c r="B28" i="8"/>
  <c r="B54" i="2"/>
  <c r="B56" i="2" s="1"/>
  <c r="E16" i="8"/>
  <c r="F16" i="8" s="1"/>
  <c r="E17" i="8"/>
  <c r="F17" i="8" s="1"/>
  <c r="E18" i="8"/>
  <c r="F18" i="8" s="1"/>
  <c r="B11" i="3"/>
  <c r="B12" i="2"/>
  <c r="B47" i="2" l="1"/>
  <c r="B75" i="2" s="1"/>
  <c r="B72" i="2"/>
  <c r="B62" i="2"/>
  <c r="B29" i="3"/>
  <c r="B63" i="2"/>
  <c r="B76" i="2"/>
  <c r="B12" i="3"/>
  <c r="B13" i="3"/>
  <c r="B15" i="3"/>
  <c r="B16" i="3"/>
  <c r="B33" i="3" l="1"/>
  <c r="B39" i="3"/>
  <c r="C39" i="3" s="1"/>
  <c r="D39" i="3" s="1"/>
  <c r="B40" i="3"/>
  <c r="C40" i="3" s="1"/>
  <c r="D40" i="3" s="1"/>
  <c r="B41" i="3"/>
  <c r="C41" i="3" s="1"/>
  <c r="D41" i="3" s="1"/>
  <c r="B42" i="3"/>
  <c r="C42" i="3" s="1"/>
  <c r="D42" i="3" s="1"/>
  <c r="B43" i="3"/>
  <c r="C43" i="3" s="1"/>
  <c r="D43" i="3" s="1"/>
  <c r="B44" i="3"/>
  <c r="C44" i="3" s="1"/>
  <c r="D44" i="3" s="1"/>
  <c r="B29" i="8"/>
  <c r="B30" i="8" s="1"/>
  <c r="B31" i="8"/>
  <c r="B44" i="8"/>
  <c r="B66" i="2"/>
  <c r="B65" i="2"/>
  <c r="B53" i="3" l="1"/>
  <c r="B35" i="3"/>
  <c r="B5" i="3"/>
  <c r="B69" i="2"/>
  <c r="C76" i="2"/>
  <c r="C75" i="2"/>
  <c r="C74" i="2"/>
  <c r="C73" i="2"/>
  <c r="C72" i="2"/>
  <c r="C77" i="2"/>
  <c r="B67" i="2"/>
  <c r="B21" i="3" l="1"/>
  <c r="B7" i="3"/>
  <c r="B20" i="3"/>
  <c r="B22" i="3" s="1"/>
  <c r="B49" i="3"/>
  <c r="C22" i="8"/>
  <c r="D22" i="8" s="1"/>
  <c r="C23" i="8"/>
  <c r="D23" i="8" s="1"/>
  <c r="C24" i="8"/>
  <c r="D24" i="8" s="1"/>
  <c r="B6" i="5" l="1"/>
  <c r="B9" i="5" s="1"/>
  <c r="B52" i="3"/>
  <c r="B24" i="3"/>
  <c r="B23" i="3"/>
  <c r="B25" i="3"/>
  <c r="B50" i="3"/>
  <c r="B23" i="5" l="1"/>
  <c r="B24" i="5" s="1"/>
  <c r="B4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ID#AAACIQEOV6c
Unknown Author    (2026-10-08 02:20:56)
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<sst xmlns="http://schemas.openxmlformats.org/spreadsheetml/2006/main" count="803" uniqueCount="668">
  <si>
    <t>DAY 22 —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</si>
  <si>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</si>
  <si>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</si>
  <si>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</si>
  <si>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</si>
  <si>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</si>
  <si>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</si>
  <si>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</si>
  <si>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</si>
  <si>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</si>
  <si>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</si>
  <si>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</si>
  <si>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</si>
  <si>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</si>
  <si>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</si>
  <si>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</si>
  <si>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</si>
  <si>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</si>
  <si>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</si>
  <si>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</si>
  <si>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</si>
  <si>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</si>
  <si>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</si>
  <si>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</si>
  <si>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</si>
  <si>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</si>
  <si>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</si>
  <si>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</si>
  <si>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</si>
  <si>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</si>
  <si>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TAB 1 — COST/JOB CALCULATOR</t>
  </si>
  <si>
    <t>Trạm 1 (S1–S2) và Trạm 3 (S3–S8). Chỉ điền ô vàng.</t>
  </si>
  <si>
    <t>LÝ DO / NGUỒN CHO TỪNG Ô VÀNG (CaTối — AI trực inbox Facebook cho shop thời trang trên Haravan)</t>
  </si>
  <si>
    <t>S1. ĐỊNH NGHĨA JOB</t>
  </si>
  <si>
    <t>1 job của bạn là gì?</t>
  </si>
  <si>
    <t>1 hội thoại hỏi mua trên Fanpage được AI xử lý xong: khách nhận đủ thông tin (giá/size/còn hàng/phí ship) hoặc AI lên đơn nháp vào Haravan, KHÔNG có tin nhắn nào do người của shop gõ, và khách không nhắn lại trong 24h. Không tính: hội thoại chuyển chủ shop, khách bỏ ngang trước khi AI trả lời đủ, lỗi kỹ thuật, spam.</t>
  </si>
  <si>
    <t>Phải là thứ KHÁCH coi là giá trị — không phải '1 request'</t>
  </si>
  <si>
    <t>Đếm tự động từ log Messenger webhook (sender = page bot vs. người). Mốc 24h trùng cửa sổ nhắn tin chuẩn của Messenger Platform.</t>
  </si>
  <si>
    <t>Biến thể HITL: A hay B?</t>
  </si>
  <si>
    <t>A</t>
  </si>
  <si>
    <t>A = khách tự xử lý ca escalate · B = BẠN chịu (outcome/managed)</t>
  </si>
  <si>
    <t>Biến thể A: CaTối bán phần mềm; 30% ca AI chuyển lại do CHỦ SHOP tự trả lời (như họ đang làm hôm nay) và KHÔNG bị tính tiền. QA nội bộ của CaTối vẫn vào COGS (S7).</t>
  </si>
  <si>
    <t>S2. KHỐI LƯỢNG</t>
  </si>
  <si>
    <t>Số job THỬ / tháng</t>
  </si>
  <si>
    <t>job</t>
  </si>
  <si>
    <t>Ước tính 1 shop mục tiêu ≈ 50 hội thoại/ngày × 30. Phân khúc chọn: shop 30–100 hội thoại/ngày. Kiểm chứng bằng log 5 shop pilot (tháng 1).</t>
  </si>
  <si>
    <t>Containment rate (AI tự làm xong)</t>
  </si>
  <si>
    <t>Chưa đo → ước tính và ghi rõ</t>
  </si>
  <si>
    <t>ƯỚC TÍNH — chưa có eval. Giả thuyết: phần lớn inbox là câu hỏi giá/size/còn hàng/ship trả lời được từ dữ liệu Haravan. Đo thật trên 300 hội thoại pilot trước 13/11/2026.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</si>
  <si>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</si>
  <si>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</si>
  <si>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</si>
  <si>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</si>
  <si>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</si>
  <si>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</si>
  <si>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Claude Haiku 4.5 — xem tab 6_Benchmarks</t>
  </si>
  <si>
    <t>Claude Haiku 4.5 — giá LIST (không phải KM), kiểm tra 08/10/2026 tại platform.claude.com/docs/en/about-claude/pricing</t>
  </si>
  <si>
    <t>Giá output ($ / 1M token)</t>
  </si>
  <si>
    <t>Haiku 4.5 output $5/1M — kiểm tra 08/10/2026</t>
  </si>
  <si>
    <t>Giá cache WRITE ($ / 1M token)</t>
  </si>
  <si>
    <t>Anthropic 5-phút = 1,25× input</t>
  </si>
  <si>
    <t>Dùng giá cache write 1 GIỜ ($2 = 2× input), không dùng 5 phút: khách inbox trả lời cách nhau vài phút → cache 5' sẽ hết hạn giữa các lượt. Bảo thủ.</t>
  </si>
  <si>
    <t>Giá cache READ ($ / 1M token)</t>
  </si>
  <si>
    <t>≈ 0,1× input (giảm 90%)</t>
  </si>
  <si>
    <t>Cache read 0,1× input = $0,10/1M (Haiku 4.5) — kiểm tra 08/10/2026</t>
  </si>
  <si>
    <t>Số lượt (turns) / job</t>
  </si>
  <si>
    <t>lượt</t>
  </si>
  <si>
    <t>Hỏi giá → size → còn màu? → phí ship → địa chỉ/SĐT → xác nhận đơn. Ước tính, đo lại từ log pilot.</t>
  </si>
  <si>
    <t>Token input CACHE ĐƯỢC / lượt</t>
  </si>
  <si>
    <t>token</t>
  </si>
  <si>
    <t>System prompt + KB + few-shot</t>
  </si>
  <si>
    <t>System prompt + chính sách shop (đổi trả, ship) + bảng size + danh mục ~50 SP bán chạy + tool schema (Haiku 4.5: 496 token tool-use). Tiếng Việt tốn token hơn tiếng Anh.</t>
  </si>
  <si>
    <t>Token input FRESH / lượt</t>
  </si>
  <si>
    <t>Câu hỏi khách + dữ liệu động</t>
  </si>
  <si>
    <t>Tin khách + lịch sử hội thoại + kết quả tool (tồn kho/giá từ Haravan API) + ẢNH khách gửi (~30% hội thoại có ảnh chụp mẫu, giữ trong lịch sử).</t>
  </si>
  <si>
    <t>Token output / lượt</t>
  </si>
  <si>
    <t>Câu trả lời chat ngắn (~120 token) + JSON gọi tool (~80 token).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</si>
  <si>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</si>
  <si>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</si>
  <si>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</si>
  <si>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</si>
  <si>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</si>
  <si>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</si>
  <si>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</si>
  <si>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</si>
  <si>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</si>
  <si>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</si>
  <si>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KHÔNG dùng Batch: khách đang chờ trả lời realtime trên Messenger. Batch chỉ dùng cho chạy eval offline.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</si>
  <si>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</si>
  <si>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</si>
  <si>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</si>
  <si>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</si>
  <si>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Không có thoại — sản phẩm chỉ chạy text trên Messenger.</t>
  </si>
  <si>
    <t>Số phút audio / job</t>
  </si>
  <si>
    <t>phút</t>
  </si>
  <si>
    <t>Không có thoại.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</si>
  <si>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</si>
  <si>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</si>
  <si>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</si>
  <si>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</si>
  <si>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</si>
  <si>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</si>
  <si>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</si>
  <si>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</si>
  <si>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Vector DB, embedding, storage, logging</t>
  </si>
  <si>
    <t>≈ $190/tháng ở quy mô 30 shop (45.000 hội thoại): hosting webhook+DB $90 · eval hồi quy hằng tuần $30 · logging/observability $50 · embedding+vector search catalog $20 → $0,0042, làm tròn lên $0,005 cho lưu ảnh/egress. Ở quy mô pilot 5 shop, con số này ≈ $0,02 (xem tab 7).</t>
  </si>
  <si>
    <t>Telephony ($ / phút)</t>
  </si>
  <si>
    <t>Không có telephony. Messenger Platform không thu phí tin nhắn trả lời trong cửa sổ 24h.</t>
  </si>
  <si>
    <t>→ Infra / job</t>
  </si>
  <si>
    <t>S6. RETRY</t>
  </si>
  <si>
    <t>Tỷ lệ job phải chạy lại</t>
  </si>
  <si>
    <t>ĐỪNG để 0%. Thực tế 5–10% là bình thường</t>
  </si>
  <si>
    <t>ƯỚC TÍNH 6%: timeout API, JSON gọi tool hỏng, webhook Messenger gửi trùng. Đo thật từ log pilot.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</si>
  <si>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</si>
  <si>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</si>
  <si>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</si>
  <si>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</si>
  <si>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Nhân viên QA tại VN fully-loaded 12,5tr₫/tháng (lương 9tr + BHXH phần DN 21,5% + quản lý/chỗ ngồi) ÷ 176 giờ ÷ tỷ giá ≈ $2,7/giờ. Giả định, không dùng $9/giờ của ví dụ Mỹ.</t>
  </si>
  <si>
    <t>% hội thoại QA nội bộ</t>
  </si>
  <si>
    <t>Luôn có, kể cả Biến thể A</t>
  </si>
  <si>
    <t>QA đọc lại 5% hội thoại AI đã 'xử lý xong' — tiếng Việt teencode/không dấu, sai giá = shop mất tiền nên giữ 5% giai đoạn đầu.</t>
  </si>
  <si>
    <t>Số phút QA / ca</t>
  </si>
  <si>
    <t>Đọc 1 hội thoại 6 lượt + đối chiếu giá/tồn kho trên Haravan ≈ 1,5 phút.</t>
  </si>
  <si>
    <t>Số phút xử lý 1 ca escalate</t>
  </si>
  <si>
    <t>Chỉ dùng nếu đổi sang Biến thể B (CaTối tự trả lời ca khó). Hiện = A nên không vào COGS; kịch bản B ở tab 7.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</si>
  <si>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</si>
  <si>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</si>
  <si>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</si>
  <si>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</si>
  <si>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</si>
  <si>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</si>
  <si>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Để 0 nếu chỉ muốn xem Cost/Job thuần COGS</t>
  </si>
  <si>
    <t>Để 0 để Cost/Job là COGS thuần. Overhead (founder, sales) xử lý ở tab 4 qua ngân sách CAC.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</si>
  <si>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</si>
  <si>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</si>
  <si>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</si>
  <si>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</si>
  <si>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</si>
  <si>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</si>
  <si>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</si>
  <si>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</si>
  <si>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</si>
  <si>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</si>
  <si>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</si>
  <si>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</si>
  <si>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Tỷ giá bán USD Vietcombank 06/10/2026 (webgia.com/ty-gia/vietcombank/06-10-2026.html) — dùng giá BÁN vì CaTối trả API bằng USD.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</si>
  <si>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</si>
  <si>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</si>
  <si>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</si>
  <si>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</si>
  <si>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</si>
  <si>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</si>
  <si>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</si>
  <si>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</si>
  <si>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</si>
  <si>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</si>
  <si>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</si>
  <si>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</si>
  <si>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LÝ DO / NGUỒN</t>
  </si>
  <si>
    <t>GIÁ SÀN</t>
  </si>
  <si>
    <t>Cost/Job (từ tab 1_Cost_Job)</t>
  </si>
  <si>
    <t>Hệ số an toàn tối thiểu</t>
  </si>
  <si>
    <t>×</t>
  </si>
  <si>
    <t>Giá bán ≥ 3 × Cost/Job</t>
  </si>
  <si>
    <t>Giữ đúng ngưỡng 3× của lab.</t>
  </si>
  <si>
    <t>→ GIÁ SÀN</t>
  </si>
  <si>
    <t>GIÁ TRẦN — NEO THEO THỨ KHÁCH ĐANG CHI</t>
  </si>
  <si>
    <t>Giá trị khách tiết kiệm được / tháng ($)</t>
  </si>
  <si>
    <t>Neo theo giá trị</t>
  </si>
  <si>
    <t>Giá trị khách nhận/tháng = lương nhân viên trực page 7tr₫ + lãi gộp của đơn đêm không bị mất (giả định 40 đơn × 60.000₫) = 9,4tr₫. GIẢ ĐỊNH — phỏng vấn 5 shop pilot.</t>
  </si>
  <si>
    <t>Số job / tháng của 1 khách</t>
  </si>
  <si>
    <t>Số job HOÀN THÀNH/tháng của 1 shop (1.500 × 70%) — vì chỉ hội thoại xử lý xong mới bị tính tiền.</t>
  </si>
  <si>
    <t>→ Trần theo giá trị — mức 10%</t>
  </si>
  <si>
    <t>→ Trần theo giá trị — mức 25%</t>
  </si>
  <si>
    <t>Lương / tháng của vị trí bị thay ($)</t>
  </si>
  <si>
    <t>Neo theo nhân công</t>
  </si>
  <si>
    <t>Lương 1 nhân viên trực page/CSKH online full-time ≈ 7tr₫/tháng (giả định, kiểm chứng khi phỏng vấn shop). Chọn neo này vì chủ shop TỰ KIỂM CHỨNG được (họ đang trả lương).</t>
  </si>
  <si>
    <t>→ Trần theo nhân công — mức 50%</t>
  </si>
  <si>
    <t>→ Trần theo nhân công — mức 70%</t>
  </si>
  <si>
    <t>GIÁ BÁN CỦA BẠN</t>
  </si>
  <si>
    <t>★ Giá bán đề xuất ($ / job)</t>
  </si>
  <si>
    <t>Tham chiếu: Intercom Fin $0,99 · Zendesk $1,50</t>
  </si>
  <si>
    <t>3.900₫ / hội thoại xử lý xong (≈$0,149). Nằm giữa 50–70% lương (3.333–4.667₫/job). Rẻ hơn Intercom Fin $0,99 ~6,6× vì neo theo lương VN, không theo lương Mỹ.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</si>
  <si>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</si>
  <si>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</si>
  <si>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</si>
  <si>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</si>
  <si>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</si>
  <si>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</si>
  <si>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</si>
  <si>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</si>
  <si>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</si>
  <si>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</si>
  <si>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</si>
  <si>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</si>
  <si>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GM mục tiêu theo lab.</t>
  </si>
  <si>
    <t>★ Containment tối thiểu cần đạt</t>
  </si>
  <si>
    <t>Công thức: R ≥ (v+q+e) / (P×(1−GM)+e)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</si>
  <si>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</si>
  <si>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</si>
  <si>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</si>
  <si>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</si>
  <si>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</si>
  <si>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</si>
  <si>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</si>
  <si>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</si>
  <si>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</si>
  <si>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</si>
  <si>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</si>
  <si>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</si>
  <si>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</si>
  <si>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</si>
  <si>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BẰNG CHỨNG CHO ĐIỂM (thực tế HÔM NAY 08/10/2026 — sản phẩm đang ở giai đoạn thiết kế/MVP)</t>
  </si>
  <si>
    <t>A. ATTRIBUTION — bạn đo được kết quả là do AI tạo ra không?</t>
  </si>
  <si>
    <t>1. Tôi có log đầy đủ mỗi job AI xử lý, gắn được với kết quả cuối cùng</t>
  </si>
  <si>
    <t>Đã thiết kế log theo hội thoại (sender, tool call, kết quả) nhưng chưa chạy với shop thật.</t>
  </si>
  <si>
    <t>2. Tôi có bộ eval đo được tỷ lệ AI làm đúng, có số liệu</t>
  </si>
  <si>
    <t>CHƯA có eval. Deadline bộ eval 300 hội thoại: 13/11/2026.</t>
  </si>
  <si>
    <t>3. Khách hàng đồng ý với cách tôi định nghĩa 'thành công' của một job</t>
  </si>
  <si>
    <t>Định nghĩa bám theo cách chủ shop tự hiểu 'khách hỏi xong' + mốc 24h Messenger, nhưng chưa được shop nào xác nhận.</t>
  </si>
  <si>
    <t>4. Tôi phân biệt được kết quả do AI tạo ra với kết quả do yếu tố khác</t>
  </si>
  <si>
    <t>Có: log Messenger cho biết hội thoại có tin nhắn do người gõ hay không → phân định AI vs. người gần như tuyệt đối (khác với 'doanh số tăng' là thứ KHÔNG attribution được).</t>
  </si>
  <si>
    <t>5. Tôi viết được định nghĩa chặt như Intercom: cái gì tính tiền, cái gì không</t>
  </si>
  <si>
    <t>Đã viết định nghĩa tính/không tính tiền ở tab 1 ô B5 (kiểu Intercom).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</si>
  <si>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</si>
  <si>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</si>
  <si>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</si>
  <si>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Tư vấn + báo giá chạy end-to-end; đơn nháp vẫn cần shop bấm xác nhận giao.</t>
  </si>
  <si>
    <t>2. Job chạy được ngoài giờ hành chính mà không ai trực</t>
  </si>
  <si>
    <t>Chạy 24/7 trên webhook, đây chính là giá trị cốt lõi (ca tối).</t>
  </si>
  <si>
    <t>3. Khi AI không chắc, nó tự chuyển tiếp đúng chỗ — không cần người phân loại</t>
  </si>
  <si>
    <t>Có rule chuyển người (khiếu nại, đổi trả, giá sỉ, độ tin cậy thấp) nhưng chưa test.</t>
  </si>
  <si>
    <t>4. Tỷ lệ ca phải có người can thiệp dưới 20%</t>
  </si>
  <si>
    <t>Ước tính 30% chuyển người &gt; ngưỡng 20%.</t>
  </si>
  <si>
    <t>5. Người vận hành chỉ kiểm tra mẫu (QA), không xử lý từng ca</t>
  </si>
  <si>
    <t>Chủ shop chỉ xử lý ca được chuyển; CaTối QA mẫu 5%.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</si>
  <si>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</si>
  <si>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</si>
  <si>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</si>
  <si>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</si>
  <si>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</si>
  <si>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</si>
  <si>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</si>
  <si>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</si>
  <si>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</si>
  <si>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Intercom Fin (AI agent CSKH)</t>
  </si>
  <si>
    <t>Outcome — $/resolution</t>
  </si>
  <si>
    <t>$0,99/outcome · tối thiểu 50 outcome/tháng trên helpdesk bên thứ ba (kiểm tra 08/10/2026)</t>
  </si>
  <si>
    <t>https://fin.ai/pricing/</t>
  </si>
  <si>
    <t>Salesforce Agentforce</t>
  </si>
  <si>
    <t>Usage — $/conversation (hoặc Flex Credits $0,10/action)</t>
  </si>
  <si>
    <t>$2/conversation · $500/100k Flex Credits · $5/user/tháng (kiểm tra 08/10/2026)</t>
  </si>
  <si>
    <t>https://www.salesforce.com/agentforce/pricing/</t>
  </si>
  <si>
    <t>Tham khảo nội địa: Sapo — Chat hợp kênh AI</t>
  </si>
  <si>
    <t>Không công bố giá AI riêng</t>
  </si>
  <si>
    <t>Không tìm thấy giá công khai (08/10/2026) — đối thủ trực tiếp ở VN, là lý do Haravan cần partner</t>
  </si>
  <si>
    <t>https://www.sapo.vn/phan-mem-chat-bot.html</t>
  </si>
  <si>
    <t>QUYẾT ĐỊNH CUỐI</t>
  </si>
  <si>
    <t>Value Metric tôi chọn</t>
  </si>
  <si>
    <t>Hybrid</t>
  </si>
  <si>
    <t>Nếu KHÁC gợi ý — lý do thị trường là gì?</t>
  </si>
  <si>
    <t>Không lệch gợi ý (model: SEAT hoặc HYBRID; Attribution 6/10, Autonomy 6/10). Không chọn Outcome thuần vì chưa có eval. Không chọn Seat vì 1 shop chỉ 1–2 người dùng nhưng số hội thoại chênh 10× giữa shop nhỏ và lớn → Seat lỗ ở shop lớn. Lý do thị trường: SME VN quen trả gói cố định → cần phần tối thiểu dễ dự đoán.</t>
  </si>
  <si>
    <t>Decision Note — câu 1: tôi chọn đơn vị nào?</t>
  </si>
  <si>
    <t>Hybrid: phí TỐI THIỂU 1.560.000₫/tháng (đã gồm 400 hội thoại xử lý xong đầu tiên) + 3.900₫ cho mỗi hội thoại xử lý xong từ thứ 401. Shop tự đặt trần chi tiêu/tháng; chạm trần thì hội thoại mới trả về inbox cho người. Không tính tiền ca chuyển người, khách bỏ ngang, lỗi kỹ thuật.</t>
  </si>
  <si>
    <t>Decision Note — câu 2: bằng chứng Attribution / Autonomy?</t>
  </si>
  <si>
    <t>Attribution 6/10: 'xử lý xong' đo thẳng từ log Messenger (có/không có tin do người gõ + không nhắn lại 24h) nên phân định AI vs người gần tuyệt đối — nhưng CHƯA có eval độ đúng. Autonomy 6/10: chạy 24/7 không người trực, nhưng containment mới ước tính 70% (30% chuyển chủ shop &gt; ngưỡng 20%).</t>
  </si>
  <si>
    <t>Decision Note — câu 3: mô hình này lỗ trong tình huống nào?</t>
  </si>
  <si>
    <t>Lỗ/mỏng khi: (1) phải nâng lên Sonnet 5.5 vì Haiku hiểu sai teencode → GM ~47% (tab 7); (2) Haravan lấy ≥30% doanh thu → GM ~55%; (3) ở quy mô pilot 5 shop, infra cố định chia ít hội thoại → GM ~54%. Containment thấp KHÔNG đốt COGS (Biến thể A) mà đốt doanh thu &amp; lòng tin của shop.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</si>
  <si>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</si>
  <si>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</si>
  <si>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</si>
  <si>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</si>
  <si>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ARPU = 1.050 hội thoại xử lý xong × 3.900₫ ≈ 4,1tr₫ ≈ $156/tháng (shop điển hình). Lấy thẳng từ tab 1 &amp; 2.</t>
  </si>
  <si>
    <t>Gross Margin (từ tab 2_Pricing)</t>
  </si>
  <si>
    <t>Phân khúc (SMB / Mid / Enterprise)</t>
  </si>
  <si>
    <t>SMB</t>
  </si>
  <si>
    <t>Shop online thời trang 30–100 hội thoại/ngày.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</si>
  <si>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</si>
  <si>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</si>
  <si>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</si>
  <si>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</si>
  <si>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</si>
  <si>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</si>
  <si>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</si>
  <si>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</si>
  <si>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Giả định gốc của Tunguz (2016) — thay bằng số thị trường bạn</t>
  </si>
  <si>
    <t>Quota VN (thay giả định Mỹ $500k của Tunguz): 1 telesales SMB SaaS VN chốt ~5 deal/tháng ở ACV ~$1.900 ≈ $114k → làm tròn $120k. GIẢ ĐỊNH.</t>
  </si>
  <si>
    <t>Số ngày làm việc / năm</t>
  </si>
  <si>
    <t>ngày</t>
  </si>
  <si>
    <t>Ngày làm việc/năm.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</si>
  <si>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</si>
  <si>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</si>
  <si>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</si>
  <si>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</si>
  <si>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</si>
  <si>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</si>
  <si>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ICONIQ 2026 theo phân khúc: $6.300 · $8.000 · $11.200</t>
  </si>
  <si>
    <t>ICONIQ State of GTM 2026, tr.22 — mức THẤP NHẤT trong 3 phân khúc (benchmark Mỹ). Bản nội địa hoá telesales VN ở tab 7.</t>
  </si>
  <si>
    <t>Win rate</t>
  </si>
  <si>
    <t>Win rate 25% theo ví dụ của lab.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</si>
  <si>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</si>
  <si>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</si>
  <si>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</si>
  <si>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</si>
  <si>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</si>
  <si>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</si>
  <si>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</si>
  <si>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</si>
  <si>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</si>
  <si>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PLG/Partner rẻ; Sales-Led lệch 19× theo ICONIQ (khả thi chỉ khi nội địa hoá, tab 7).</t>
  </si>
  <si>
    <t>2. Khách hàng mục tiêu thực sự mua theo cách này</t>
  </si>
  <si>
    <t>Chủ shop VN ít tự bỏ 4tr₫/tháng cho tool lạ; họ mua qua telesales hoặc qua kho app của phần mềm bán hàng đang dùng.</t>
  </si>
  <si>
    <t>3. Đội hiện tại có năng lực chạy kênh này ngay</t>
  </si>
  <si>
    <t>Đội = 1 founder kỹ thuật: build app tích hợp được, chưa có sales.</t>
  </si>
  <si>
    <t>4. Tôi tiếp cận được điểm nhúng / partner trong 30 ngày</t>
  </si>
  <si>
    <t>PLG: Messenger app tự kết nối ngay. Partner: Haravan có docs developer công khai, nhưng duyệt listing chưa rõ thời gian.</t>
  </si>
  <si>
    <t>5. Kênh này đưa tôi đến ĐÚNG Pain Moment</t>
  </si>
  <si>
    <t>Haravan giữ catalog + tồn kho + đơn hàng, và HaraSocial là nơi chủ shop đọc inbox → đúng Pain Moment.</t>
  </si>
  <si>
    <t>6. Tôi đo được hiệu quả trong vòng 90 ngày</t>
  </si>
  <si>
    <t>Partner-Led phụ thuộc tiến độ phía Haravan → đo trong 90 ngày khó hơn.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</si>
  <si>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</si>
  <si>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</si>
  <si>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</si>
  <si>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</si>
  <si>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</si>
  <si>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Thắng sát điểm (22 vs 20 PLG). Lý do quyết định: containment phụ thuộc chất lượng catalog/tồn kho — dữ liệu đó nằm trong Haravan.</t>
  </si>
  <si>
    <t>Nếu Partner-Led: TÊN CÔNG TY partner</t>
  </si>
  <si>
    <t>Haravan (kho ứng dụng Haravan Apps — docs.haravan.com; HaraSocial)</t>
  </si>
  <si>
    <t>'Các nền tảng trong ngành' = chưa có kênh</t>
  </si>
  <si>
    <t>Đã nói chuyện với họ chưa? (Rồi / Chưa)</t>
  </si>
  <si>
    <t>Chưa</t>
  </si>
  <si>
    <t>Sẽ gửi đề xuất trước 16/10/2026; cần câu trả lời có/không trước 30/10/2026.</t>
  </si>
  <si>
    <t>Bạn mang lại giá trị gì cho partner?</t>
  </si>
  <si>
    <t>(1) Lấp khoảng trống so với Sapo (đã có 'Chat hợp kênh AI') mà Haravan không phải tự build; (2) mỗi hội thoại AI xử lý xong tạo đơn nháp ngay trong Haravan → thêm đơn/GMV chạy qua Haravan; (3) chia sẻ doanh thu app (giả định 20%, cần xác nhận).</t>
  </si>
  <si>
    <t>Nếu rơi vào vùng không khả thi — lối thoát nào?</t>
  </si>
  <si>
    <t>Lối thoát = Partner-Led. 30 ngày tới: đăng ký tài khoản developer Haravan + build private app cho 5 shop pilot (đến 19/10), gửi đề xuất partner kèm số liệu tuần 1. Nếu đến 30/10 Haravan từ chối listing → chuyển KiotViet.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</si>
  <si>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</si>
  <si>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</si>
  <si>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</si>
  <si>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</si>
  <si>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</si>
  <si>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21h00–23h30 — giờ inbox dồn sau khi đăng bài/livestream lúc 20h (giả thuyết, đo bằng log giờ tin nhắn của pilot).</t>
  </si>
  <si>
    <t>Lúc đó họ ĐANG LÀM GÌ?</t>
  </si>
  <si>
    <t>Chủ shop vừa đóng gói đơn cho sáng mai vừa trả lời 40–60 tin 'giá bao nhiêu? còn size M không? ship HN mấy ngày?'; trả lời chậm thì khách nhắn shop khác.</t>
  </si>
  <si>
    <t>Họ đang DÙNG APP / KÊNH NÀO?</t>
  </si>
  <si>
    <t>Inbox Fanpage trên điện thoại qua app HaraSocial (hoặc Meta Business Suite); hàng và tồn kho nằm trong Haravan.</t>
  </si>
  <si>
    <t>→ Điểm nhúng cụ thể của bạn</t>
  </si>
  <si>
    <t>Haravan app (OAuth vào cửa hàng Haravan: đọc sản phẩm/tồn kho, tạo đơn nháp) + Messenger Platform webhook trên chính Fanpage → AI trả lời NGAY TRONG inbox shop đang dùng, chủ shop thấy hết trên HaraSocial. Không có website/app mới.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</si>
  <si>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</si>
  <si>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</si>
  <si>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</si>
  <si>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</si>
  <si>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</si>
  <si>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</si>
  <si>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Founder-led: tự tìm &amp; onboard tận tay 5 shop thời trang dùng Haravan (nhóm cộng đồng Haravan, người quen).</t>
  </si>
  <si>
    <t>Partner-Led: private app → listing trên Haravan Apps + đề xuất co-marketing (webinar, email tới merchant HaraSocial).</t>
  </si>
  <si>
    <t>Vẫn Haravan; mở ngách liền kề giày dép/túi xách (cùng cấu trúc câu hỏi size/còn hàng/ship → tái dùng eval).</t>
  </si>
  <si>
    <t>Mục tiêu số khách</t>
  </si>
  <si>
    <t>5 shop pilot (miễn phí 4 tuần), ≥3 shop đồng ý trả tiền từ tháng 2.</t>
  </si>
  <si>
    <t>30 shop trả tiền tới ngày 90 (≈123tr₫ MRR).</t>
  </si>
  <si>
    <t>Chỉ mở rộng khi: containment thật ≥75%, GM thật ≥60%, ≥30 shop trả tiền, churn &lt;8%/tháng.</t>
  </si>
  <si>
    <t>Việc cụ thể 1</t>
  </si>
  <si>
    <t>Đọc 100% log tuần 1; gán nhãn 300 hội thoại thành bộ eval.</t>
  </si>
  <si>
    <t>Đưa Pilot Report + Eval Results cho team đối tác Haravan; xin listing.</t>
  </si>
  <si>
    <t>Eval riêng cho giày dép/túi xách (200 hội thoại) trước khi bán.</t>
  </si>
  <si>
    <t>Việc cụ thể 2</t>
  </si>
  <si>
    <t>Phỏng vấn 5 chủ shop: lương trực page, số đơn mất ban đêm → kiểm chứng 2 con số neo giá.</t>
  </si>
  <si>
    <t>Tuyển 1 QA part-time; viết onboarding tự động (sync catalog ≤10 phút).</t>
  </si>
  <si>
    <t>Đàm phán rev-share chính thức; thử gói năm trả trước.</t>
  </si>
  <si>
    <t>Việc cụ thể 3</t>
  </si>
  <si>
    <t>Đo containment, tỷ lệ báo giá đúng, token thực/hội thoại → cập nhật tab 1.</t>
  </si>
  <si>
    <t>A/B: tin nhắn chào trong app store vs. webinar để biết nguồn cài nào ra shop trả tiền.</t>
  </si>
  <si>
    <t>Đánh giá KiotViet làm partner thứ 2 (chỉ khi Haravan đã thắng).</t>
  </si>
  <si>
    <t>KPI đo được</t>
  </si>
  <si>
    <t>Containment đo trên ≥3.000 hội thoại; 100% câu báo giá/tồn kho khớp Haravan; 3/5 shop đồng ý trả tiền.</t>
  </si>
  <si>
    <t>30 shop trả tiền · activation ≥60% (sync catalog + 50 hội thoại xử lý xong trong 7 ngày) · containment ≥70% · CAC ≤3tr₫/shop.</t>
  </si>
  <si>
    <t>GM thật ≥60% · NRR ≥100% · containment ngách mới ≥70%.</t>
  </si>
  <si>
    <t>Người chịu trách nhiệm</t>
  </si>
  <si>
    <t>Nguyễn Văn Biển (founder)</t>
  </si>
  <si>
    <t>Nguyễn Văn Biển · QA part-time (tuyển tháng 2)</t>
  </si>
  <si>
    <t>Nguyễn Văn Biển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</si>
  <si>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</si>
  <si>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</si>
  <si>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</si>
  <si>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</si>
  <si>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</si>
  <si>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</si>
  <si>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 xml:space="preserve">1. Eval Results </t>
  </si>
  <si>
    <t>Bộ eval 300 hội thoại thật (ẩn danh) từ 5 shop pilot: đo % xử lý đúng, % báo giá/tồn kho khớp Haravan, % chuyển người đúng chỗ. Mục tiêu: 'xử lý đúng ≥70%; 30% còn lại chuyển chủ shop'.</t>
  </si>
  <si>
    <t>Nguyễn Văn Biển · 13/11/2026</t>
  </si>
  <si>
    <t>2. Procurement Q&amp;A (Risk Checklist)</t>
  </si>
  <si>
    <t>Bản nháp</t>
  </si>
  <si>
    <t>(1) Hallucinate: AI KHÔNG tự sinh giá/tồn kho — chỉ đọc từ Haravan qua tool; không chắc, khiếu nại, đổi trả, giá sỉ → chuyển người. (2) Train model: dùng Claude API (điều khoản thương mại của Anthropic: không train trên dữ liệu khách — phải trích dẫn điều khoản cụ thể); không dùng hội thoại shop A cho shop B. (3) CaTối dừng: sản phẩm/đơn vẫn ở Haravan, hội thoại vẫn ở Fanpage; log của CaTối export CSV bất kỳ lúc nào, xoá trong 30 ngày khi ngừng. Rà soát theo Luật BVDLCN.</t>
  </si>
  <si>
    <t>Nguyễn Văn Biển · bản chính thức + rà soát pháp lý 30/10/2026</t>
  </si>
  <si>
    <t>3. Pilot Report</t>
  </si>
  <si>
    <t>Pilot 4 tuần với 5 shop (19/10–15/11/2026): '__ tuần, __ hội thoại, containment __%, tiết kiệm __ giờ trực/tuần cho chủ shop'.</t>
  </si>
  <si>
    <t>Nguyễn Văn Biển · 20/11/2026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</si>
  <si>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</si>
  <si>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</si>
  <si>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</si>
  <si>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Được</t>
  </si>
  <si>
    <t>Nhóm đọc nhận ra ngay: AI trực inbox Facebook cho shop thời trang dùng Haravan, tính tiền theo hội thoại xử lý xong. Không cần hỏi lại mục này.</t>
  </si>
  <si>
    <t>Họ trả lời được: có lãi trên mỗi đơn vị không, số nào chứng minh? (Được/Không)</t>
  </si>
  <si>
    <t>Nhóm đọc thấy được: Cost/Job $0,047, GM 68,4%. Hỏi lại 1 lần: 'breakeven 55% nghĩa là sao?' → giải thích containment.</t>
  </si>
  <si>
    <t>Họ trả lời được: tiếp cận khách qua đâu, vì sao kênh đó? (Được/Không)</t>
  </si>
  <si>
    <t>Nhóm đọc nhận ra: Partner-Led qua Haravan Apps. Hiểu lý do vì dữ liệu catalog nằm trong Haravan.</t>
  </si>
  <si>
    <t>Số câu họ phải hỏi lại (mục tiêu ≤ 3)</t>
  </si>
  <si>
    <t>Tổng 1 câu hỏi lại (breakeven containment). Đạt mục tiêu ≤ 3.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</si>
  <si>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</si>
  <si>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</si>
  <si>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</si>
  <si>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08/10/2026</t>
  </si>
  <si>
    <t>Bắt buộc điền — Rubric có chấm mục này</t>
  </si>
  <si>
    <t>Nhóm</t>
  </si>
  <si>
    <t>Mục</t>
  </si>
  <si>
    <t>Giá</t>
  </si>
  <si>
    <t>Đơn vị</t>
  </si>
  <si>
    <t>Nguồn</t>
  </si>
  <si>
    <t>Kiểm tra 08/10/2026</t>
  </si>
  <si>
    <t>Claude Opus 5 — input / output</t>
  </si>
  <si>
    <t>5,00 / 25,00</t>
  </si>
  <si>
    <t>$ / 1M token</t>
  </si>
  <si>
    <t>platform.claude.com/docs/en/about-claude/pricing</t>
  </si>
  <si>
    <t>Không đổi ($5/$25). Không dùng trong model.</t>
  </si>
  <si>
    <t>Claude Sonnet 5 — input / output</t>
  </si>
  <si>
    <t>2,00 / 10,00</t>
  </si>
  <si>
    <t>ĐÃ ĐỔI TRẠNG THÁI: $2/$10 nay là giá CHUẨN; đợt tăng lên $3/$15 từ 01/09/2026 đã huỷ.</t>
  </si>
  <si>
    <t>Claude Haiku 4.5 — input / output</t>
  </si>
  <si>
    <t>1,00 / 5,00</t>
  </si>
  <si>
    <t>Không đổi ($1/$5; cache write 5' $1,25 · 1h $2 · read $0,10). ← GIÁ DÙNG TRONG MODEL.</t>
  </si>
  <si>
    <t>Claude — cache write 5' / cache read</t>
  </si>
  <si>
    <t>1,25× / 0,10× input</t>
  </si>
  <si>
    <t>hệ số</t>
  </si>
  <si>
    <t>Không đổi với Haiku 4.5. Lưu ý: Opus 5.5/Sonnet 5.5 cache read chỉ 0,05× input.</t>
  </si>
  <si>
    <t>⏳ OpenAI GPT-5.6 Sol — input / output</t>
  </si>
  <si>
    <t>4,00 / 20,00</t>
  </si>
  <si>
    <t>developers.openai.com/api/docs/pricing (KM 21/08–21/11/2026; list 5,00/30,00)</t>
  </si>
  <si>
    <t>Không kiểm tra lại — không dùng trong model (KM hết hạn 21/11/2026).</t>
  </si>
  <si>
    <t>OpenAI GPT-5.6 Luna — input / output</t>
  </si>
  <si>
    <t>0,20 / 1,20</t>
  </si>
  <si>
    <t>developers.openai.com/api/docs/pricing</t>
  </si>
  <si>
    <t>Không kiểm tra lại — không dùng trong model.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</si>
  <si>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</si>
  <si>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</si>
  <si>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</si>
  <si>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</si>
  <si>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</si>
  <si>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</si>
  <si>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</si>
  <si>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</si>
  <si>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Vẫn KM: $0,75/$3,75 đến 31/12/2026 → $1,50/$7,50 từ 01/01/2027 (cached $0,075 → $0,15). Không chọn làm base vì giá gấp đôi sau 12 tuần.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</si>
  <si>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</si>
  <si>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</si>
  <si>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</si>
  <si>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</si>
  <si>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</si>
  <si>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</si>
  <si>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</si>
  <si>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</si>
  <si>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</si>
  <si>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</si>
  <si>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</si>
  <si>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</si>
  <si>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</si>
  <si>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</si>
  <si>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</si>
  <si>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</si>
  <si>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</si>
  <si>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</si>
  <si>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</si>
  <si>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</si>
  <si>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</si>
  <si>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</si>
  <si>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</si>
  <si>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</si>
  <si>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</si>
  <si>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</si>
  <si>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</si>
  <si>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</si>
  <si>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</si>
  <si>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</si>
  <si>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</si>
  <si>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</si>
  <si>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</si>
  <si>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</si>
  <si>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</si>
  <si>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</si>
  <si>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</si>
  <si>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</si>
  <si>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</si>
  <si>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</si>
  <si>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</si>
  <si>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</si>
  <si>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</si>
  <si>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</si>
  <si>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</si>
  <si>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</si>
  <si>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Không đổi: $0,99/outcome; tối thiểu 50 outcome/tháng trên helpdesk bên thứ ba.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</si>
  <si>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</si>
  <si>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</si>
  <si>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</si>
  <si>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</si>
  <si>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</si>
  <si>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</si>
  <si>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</si>
  <si>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</si>
  <si>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</si>
  <si>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</si>
  <si>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</si>
  <si>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</si>
  <si>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</si>
  <si>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Không đổi: $2/conversation; Flex Credits $500/100k; $5/user/tháng.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</si>
  <si>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</si>
  <si>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</si>
  <si>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</si>
  <si>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</si>
  <si>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</si>
  <si>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</si>
  <si>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</si>
  <si>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</si>
  <si>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</si>
  <si>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</si>
  <si>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</si>
  <si>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</si>
  <si>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</si>
  <si>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</si>
  <si>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</si>
  <si>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</si>
  <si>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</si>
  <si>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</si>
  <si>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</si>
  <si>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</si>
  <si>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</si>
  <si>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</si>
  <si>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</si>
  <si>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</si>
  <si>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</si>
  <si>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</si>
  <si>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</si>
  <si>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</si>
  <si>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</si>
  <si>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</si>
  <si>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</si>
  <si>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</si>
  <si>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</si>
  <si>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</si>
  <si>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</si>
  <si>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</si>
  <si>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>MỚI · Claude Haiku 5.5 — input / output (≤100k)</t>
  </si>
  <si>
    <t>0,10 / 0,50</t>
  </si>
  <si>
    <t>Rẻ 10× Haiku 4.5 — kịch bản tối ưu ở tab 7 (chưa eval tiếng Việt).</t>
  </si>
  <si>
    <t>MỚI · Claude Sonnet 5.5 — input / output</t>
  </si>
  <si>
    <t>Cache read 0,05× = $0,10; cache write 1h $4. Kịch bản 'nâng model' ở tab 7.</t>
  </si>
  <si>
    <t>MỚI · Claude Opus 5.5 — input / output</t>
  </si>
  <si>
    <t>Không dùng.</t>
  </si>
  <si>
    <t>Tỷ giá USD bán ra Vietcombank</t>
  </si>
  <si>
    <t>26.190</t>
  </si>
  <si>
    <t>₫ / USD</t>
  </si>
  <si>
    <t>webgia.com/ty-gia/vietcombank/06-10-2026.html</t>
  </si>
  <si>
    <t>Ngày 06/10/2026 — dùng ở 1_Cost_Job!B68.</t>
  </si>
  <si>
    <t>Sapo — Chat hợp kênh AI</t>
  </si>
  <si>
    <t>Không công bố</t>
  </si>
  <si>
    <t>sapo.vn/phan-mem-chat-bot.html</t>
  </si>
  <si>
    <t>Đối thủ nội địa; lý do chọn Haravan làm partner.</t>
  </si>
  <si>
    <t>TAB 7 — STRESS TEST (tab thêm, không thuộc template)</t>
  </si>
  <si>
    <t>Mọi kịch bản dùng lại token/lượt, retry, infra, QA, containment và giá bán từ tab 1–2. Chỉ đổi giá model / quy mô / rev-share. Ô vàng = giả định kịch bản.</t>
  </si>
  <si>
    <t>A. ĐỔI MODEL — Cost/Job &amp; GM ở cùng giá 3.900₫</t>
  </si>
  <si>
    <t>Kịch bản</t>
  </si>
  <si>
    <t>Input $/1M</t>
  </si>
  <si>
    <t>Output $/1M</t>
  </si>
  <si>
    <t>Cache write</t>
  </si>
  <si>
    <t>Cache read</t>
  </si>
  <si>
    <t>LLM/job thử</t>
  </si>
  <si>
    <t>GM</t>
  </si>
  <si>
    <t>Đèn</t>
  </si>
  <si>
    <t>BASE · Haiku 4.5, cache write 1h (= tab 1)</t>
  </si>
  <si>
    <t>Haiku 4.5, cache write 5 phút (lạc quan)</t>
  </si>
  <si>
    <t>Nâng lên Sonnet 5.5 (nếu Haiku hiểu sai teencode)</t>
  </si>
  <si>
    <t>Hạ xuống Haiku 5.5 (sau khi eval đạt)</t>
  </si>
  <si>
    <t>⏳ Gemini 3.7 Flash — giá KM đến 31/12/2026</t>
  </si>
  <si>
    <t>Gemini 3.7 Flash — giá list từ 01/01/2027</t>
  </si>
  <si>
    <t>Đọc: Haiku 5.5 cho GM &gt;85% → nếu thấy con số đó ở thực tế, kiểm tra lại có quên chi phí không. Sonnet 5.5 kéo GM xuống vùng nguy hiểm → model tier là biến sinh tử thứ 2 sau containment.</t>
  </si>
  <si>
    <t>B. QUY MÔ — infra cố định chia cho ít hội thoại</t>
  </si>
  <si>
    <t>Infra $/tháng</t>
  </si>
  <si>
    <t>Hội thoại thử/tháng</t>
  </si>
  <si>
    <t>Infra/job</t>
  </si>
  <si>
    <t>Pilot 5 shop</t>
  </si>
  <si>
    <t>30 shop (giả định tab 1)</t>
  </si>
  <si>
    <t>100 shop</t>
  </si>
  <si>
    <t>C. CHIA SẺ DOANH THU VỚI PARTNER (Haravan) — giảm doanh thu ròng/job</t>
  </si>
  <si>
    <t>Rev-share</t>
  </si>
  <si>
    <t>Doanh thu ròng/job</t>
  </si>
  <si>
    <t>GM trên doanh thu ròng</t>
  </si>
  <si>
    <t>Tỷ lệ rev-share Haravan chưa công bố — phải xác nhận trong cuộc nói chuyện đầu tiên. Trên 30% → phải tăng giá hoặc hạ model.</t>
  </si>
  <si>
    <t>D. NẾU ĐỔI SANG BIẾN THỂ B (CaTối tự trả lời ca khó cho shop)</t>
  </si>
  <si>
    <t>e — chi phí 1 ca escalate do CaTối xử lý</t>
  </si>
  <si>
    <t>Cost/Job Biến thể B</t>
  </si>
  <si>
    <t>GM Biến thể B ở giá 3.900₫</t>
  </si>
  <si>
    <t>Breakeven containment Biến thể B (GM 60%)</t>
  </si>
  <si>
    <t>Biến thể B GÃY margin: 30% ca chuyển người × 3 phút làm Cost/Job tăng ~2,2× → GM ~29%, cần containment ~86% mới đạt GM 60%. Giữ A cho tới khi eval chứng minh containment ≥86%.</t>
  </si>
  <si>
    <t>E. NỘI ĐỊA HOÁ CAC TELESALES VN (đối chiếu với ICONIQ ở tab 4)</t>
  </si>
  <si>
    <t>Chi phí 1 telesales fully-loaded / tháng (₫)</t>
  </si>
  <si>
    <t>Giả định: lương+hoa hồng+BHXH.</t>
  </si>
  <si>
    <t>Deal chốt / telesales / tháng</t>
  </si>
  <si>
    <t>Khớp quota $120k ở tab 4!B13.</t>
  </si>
  <si>
    <t>Chi phí lead / deal (₫) — ~10 lead × 150.000₫</t>
  </si>
  <si>
    <t>Giả định quảng cáo FB B2B.</t>
  </si>
  <si>
    <t>Hệ số quản lý + onboarding</t>
  </si>
  <si>
    <t>Giả định.</t>
  </si>
  <si>
    <t>→ CAC telesales VN ước tính / khách ($)</t>
  </si>
  <si>
    <t>→ So với ngân sách CAC (tab 4!B9)</t>
  </si>
  <si>
    <t>Kết luận trung thực: với chi phí nhân sự VN, telesales KHÔNG bị loại về số học (ICONIQ là benchmark Mỹ). Partner-Led vẫn thắng vì (1) catalog/tồn kho nằm ở Haravan quyết định containment, (2) 1 founder không nuôi được đội telesales trong 90 ngày.</t>
  </si>
  <si>
    <t>F. MÔ HÌNH GÃY KHI NÀO? (GM = 50%)</t>
  </si>
  <si>
    <t>Containment làm GM rơi xuống 50% (giữ nguyên giá, model)</t>
  </si>
  <si>
    <t>LLM/job tối đa trước khi GM rơi xuống 50% (containment 70%)</t>
  </si>
  <si>
    <t>→ gấp bao nhiêu lần LLM/job hiện tại</t>
  </si>
  <si>
    <t>TAB 8 — NHẬT KÝ PHẢN BIỆN BẰNG AI (§4.7)</t>
  </si>
  <si>
    <t>Phần A (dòng 5–17): Claude chạy 3 prompt §4.7 (4.7.1, 4.7.3, 4.7.5). Phần B (dòng 19–): Nguyễn Văn Biển tự chạy lại 4.7.1 và 4.7.5 và tự ghi accept/reject.</t>
  </si>
  <si>
    <t>Prompt</t>
  </si>
  <si>
    <t>AI chỉ ra</t>
  </si>
  <si>
    <t>Quyết định</t>
  </si>
  <si>
    <t>Đã làm gì / vì sao</t>
  </si>
  <si>
    <t>4.7.1 Cost/Job</t>
  </si>
  <si>
    <t>Quên token ẢNH khách gửi (chụp mẫu hỏi 'còn không?').</t>
  </si>
  <si>
    <t>ACCEPT</t>
  </si>
  <si>
    <t>Nâng token fresh từ 1.000 → 1.400/lượt (tab 1!B21).</t>
  </si>
  <si>
    <t>Cache 5 phút sẽ hết hạn vì khách inbox trả lời chậm → số lượt đọc cache bị thổi phồng.</t>
  </si>
  <si>
    <t>Dùng giá cache write 1 giờ $2 (tab 1!B17). Kịch bản 5 phút để ở tab 7.</t>
  </si>
  <si>
    <t>Quên chi phí chạy eval định kỳ + observability.</t>
  </si>
  <si>
    <t>Gộp vào infra $0,005/job, có bảng chia nhỏ ở ghi chú tab 1!E41.</t>
  </si>
  <si>
    <t>Mẫu số: chia job thử hay job hoàn thành?</t>
  </si>
  <si>
    <t>ACCEPT (đã đúng)</t>
  </si>
  <si>
    <t>Chia 1.050 job hoàn thành, không 1.500. Nếu chia sai, Cost/Job thấp hơn ~30% (tab 1!B66 vs tổng/1.500).</t>
  </si>
  <si>
    <t>HITL 30% ca chuyển người — ai chịu?</t>
  </si>
  <si>
    <t>REJECT đưa vào COGS</t>
  </si>
  <si>
    <t>Biến thể A: chủ shop vẫn tự trả lời các ca này như hôm nay và không bị tính tiền. Ghi nhận: nếu CaTối tự gánh (Biến thể B) thì GM ~29% (tab 7-D) → chính vì vậy giữ A.</t>
  </si>
  <si>
    <t>Batch API giảm 50%.</t>
  </si>
  <si>
    <t>REJECT</t>
  </si>
  <si>
    <t>Chat realtime trên Messenger, khách đang chờ. Batch chỉ dùng cho chạy eval.</t>
  </si>
  <si>
    <t>Biến số giết mô hình: model tier.</t>
  </si>
  <si>
    <t>Nếu phải lên Sonnet 5.5, GM tụt ~47% (tab 7-A). Hành động: eval Haiku 4.5 vs 5.5 trên teencode trước khi chốt.</t>
  </si>
  <si>
    <t>Giá dùng có phải KM không?</t>
  </si>
  <si>
    <t>Haiku 4.5 là giá list. Không dùng Gemini Flash KM làm base (tăng gấp đôi từ 01/01/2027).</t>
  </si>
  <si>
    <t>4.7.3 Channel</t>
  </si>
  <si>
    <t>Với quota VN, deal/AE/ngày ≈0,26 → Sales-Led khả thi về số học; ICONIQ là benchmark Mỹ.</t>
  </si>
  <si>
    <t>PARTIAL</t>
  </si>
  <si>
    <t>Ghi nhận trung thực ở tab 7-E (CAC telesales VN). Vẫn chọn Partner-Led vì dữ liệu catalog ở Haravan và đội 1 người.</t>
  </si>
  <si>
    <t>Partner có thể tự build AI chat (như Sapo đã làm) hoặc từ chối listing.</t>
  </si>
  <si>
    <t>Phép thử 2 tuần: có/không trước 30/10/2026; fallback KiotViet. Ghi ở tab 4!B42.</t>
  </si>
  <si>
    <t>Pain Moment có đủ cụ thể để gọi tên bề mặt tích hợp không?</t>
  </si>
  <si>
    <t>ACCEPT (đạt)</t>
  </si>
  <si>
    <t>Đã gọi tên HaraSocial + Messenger webhook + Haravan API, không có website riêng.</t>
  </si>
  <si>
    <t>4.7.5 One-Pager</t>
  </si>
  <si>
    <t>Lương 7tr₫ và 70% containment là số chưa kiểm chứng.</t>
  </si>
  <si>
    <t>Gắn nhãn GIẢ ĐỊNH/ƯỚC TÍNH ở mọi nơi + nêu cách kiểm chứng trong tháng 1.</t>
  </si>
  <si>
    <t>Kiểm tra toán: Cost/Job × (1/(1−GM)) phải bằng giá.</t>
  </si>
  <si>
    <t>Đã đối chiếu: các số trên One-Pager lấy từ giá trị Excel tính lại, không gõ tay.</t>
  </si>
  <si>
    <t>PHẦN B — TỰ CHẠY LẠI (Nguyễn Văn Biển · 08/10/2026)</t>
  </si>
  <si>
    <t>AI hỏi: Tại sao không dùng Batch API để giảm 50% chi phí LLM?</t>
  </si>
  <si>
    <t>Đây là chat realtime — khách đang chờ trả lời trực tiếp trên Messenger. Batch API chỉ hợp lệ khi chạy eval offline, không dùng được trong luồng sản phẩm. Giữ nguyên quyết định.</t>
  </si>
  <si>
    <t>AI hỏi: Retry 6% có cao không? Cần đo thực từ log.</t>
  </si>
  <si>
    <t>ACCEPT rằng đây là ước tính — chưa có log thực. REJECT đề xuất dùng 2% vì Messenger webhook có tỷ lệ duplicate gửi; 6% là số bảo thủ phù hợp giai đoạn MVP. Sẽ đo từ log pilot tháng 11.</t>
  </si>
  <si>
    <t>AI hỏi: Nếu chủ shop dùng template trả lời nhanh (quick replies), token đầu vào sẽ khác — đã tính chưa?</t>
  </si>
  <si>
    <t>Chưa tính. Quick replies tạo token output ngắn hơn (~50 token thay vì 200) nhưng token input vẫn phải đọc toàn bộ lịch sử. Tác động nhỏ (&lt;5%) — ghi nhận là giả định chưa kiểm chứng, đo trong pilot.</t>
  </si>
  <si>
    <t>AI hỏi: One-Pager chưa giải thích 'xử lý xong' nghĩa là gì cho người đọc lần đầu.</t>
  </si>
  <si>
    <t>Đúng — người ngoài không biết định nghĩa 24h/không có tin người gõ. Đã thêm chú thích ngắn '(AI trả lời, khách không nhắn lại trong 24h)' vào phần giá trong One-Pager.</t>
  </si>
  <si>
    <t>AI hỏi: Phần kênh không nêu timeline rõ ràng — 'chưa nói chuyện' có thể gây lo ngại.</t>
  </si>
  <si>
    <t>REJECT che giấu. Giữ nguyên câu 'Chưa nói chuyện — gửi đề xuất trước 16/10, cần câu trả lời trước 30/10'. Trung thực về trạng thái là điểm mạnh (đề cũng yêu cầu thành thật). Thêm fallback KiotViet để cho thấy đã có plan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</si>
</sst>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  <numFmt numFmtId="171" formatCode="\$0.0000"/>
    <numFmt numFmtId="172" formatCode="0.00\x"/>
  </numFmts>
  <fonts count="13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color theme="1"/>
      <name val="Calibri"/>
    </font>
    <font>
      <i/>
      <sz val="9"/>
      <color rgb="FF666666"/>
      <name val="Arial"/>
    </font>
    <font>
      <b/>
      <sz val="11"/>
      <color rgb="FF1F2937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8000"/>
      <name val="Arial"/>
    </font>
    <font>
      <b/>
      <sz val="10"/>
      <color theme="1"/>
      <name val="Arial"/>
    </font>
    <font>
      <b/>
      <sz val="11"/>
      <color rgb="FFC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</patternFill>
    </fill>
    <fill>
      <patternFill patternType="solid">
        <fgColor rgb="FF1F2937"/>
      </patternFill>
    </fill>
    <fill>
      <patternFill patternType="solid">
        <fgColor rgb="FFEDEDED"/>
      </patternFill>
    </fill>
    <fill>
      <patternFill patternType="solid">
        <fgColor rgb="FFE8EAF6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3" borderId="2" xfId="0" applyFont="1" applyFill="1" applyBorder="1"/>
    <xf numFmtId="0" fontId="6" fillId="0" borderId="0" xfId="0" applyFont="1"/>
    <xf numFmtId="0" fontId="4" fillId="4" borderId="1" xfId="0" applyFont="1" applyFill="1" applyBorder="1"/>
    <xf numFmtId="0" fontId="6" fillId="5" borderId="2" xfId="0" applyFont="1" applyFill="1" applyBorder="1"/>
    <xf numFmtId="0" fontId="7" fillId="0" borderId="2" xfId="0" applyFont="1" applyBorder="1"/>
    <xf numFmtId="0" fontId="2" fillId="4" borderId="1" xfId="0" applyFont="1" applyFill="1" applyBorder="1"/>
    <xf numFmtId="0" fontId="6" fillId="6" borderId="2" xfId="0" applyFont="1" applyFill="1" applyBorder="1"/>
    <xf numFmtId="0" fontId="8" fillId="0" borderId="0" xfId="0" applyFont="1"/>
    <xf numFmtId="0" fontId="5" fillId="3" borderId="2" xfId="0" applyFont="1" applyFill="1" applyBorder="1" applyAlignment="1">
      <alignment horizontal="center"/>
    </xf>
    <xf numFmtId="3" fontId="5" fillId="3" borderId="2" xfId="0" applyNumberFormat="1" applyFont="1" applyFill="1" applyBorder="1"/>
    <xf numFmtId="164" fontId="5" fillId="3" borderId="2" xfId="0" applyNumberFormat="1" applyFont="1" applyFill="1" applyBorder="1"/>
    <xf numFmtId="3" fontId="9" fillId="5" borderId="2" xfId="0" applyNumberFormat="1" applyFont="1" applyFill="1" applyBorder="1"/>
    <xf numFmtId="3" fontId="6" fillId="5" borderId="2" xfId="0" applyNumberFormat="1" applyFont="1" applyFill="1" applyBorder="1"/>
    <xf numFmtId="165" fontId="7" fillId="5" borderId="2" xfId="0" applyNumberFormat="1" applyFont="1" applyFill="1" applyBorder="1"/>
    <xf numFmtId="166" fontId="5" fillId="3" borderId="2" xfId="0" applyNumberFormat="1" applyFont="1" applyFill="1" applyBorder="1"/>
    <xf numFmtId="167" fontId="5" fillId="3" borderId="2" xfId="0" applyNumberFormat="1" applyFont="1" applyFill="1" applyBorder="1"/>
    <xf numFmtId="165" fontId="9" fillId="5" borderId="2" xfId="0" applyNumberFormat="1" applyFont="1" applyFill="1" applyBorder="1"/>
    <xf numFmtId="165" fontId="6" fillId="5" borderId="2" xfId="0" applyNumberFormat="1" applyFont="1" applyFill="1" applyBorder="1"/>
    <xf numFmtId="168" fontId="5" fillId="3" borderId="2" xfId="0" applyNumberFormat="1" applyFont="1" applyFill="1" applyBorder="1"/>
    <xf numFmtId="0" fontId="9" fillId="5" borderId="2" xfId="0" applyFont="1" applyFill="1" applyBorder="1"/>
    <xf numFmtId="0" fontId="8" fillId="6" borderId="2" xfId="0" applyFont="1" applyFill="1" applyBorder="1"/>
    <xf numFmtId="164" fontId="6" fillId="5" borderId="2" xfId="0" applyNumberFormat="1" applyFont="1" applyFill="1" applyBorder="1"/>
    <xf numFmtId="165" fontId="5" fillId="3" borderId="2" xfId="0" applyNumberFormat="1" applyFont="1" applyFill="1" applyBorder="1"/>
    <xf numFmtId="169" fontId="6" fillId="5" borderId="2" xfId="0" applyNumberFormat="1" applyFont="1" applyFill="1" applyBorder="1"/>
    <xf numFmtId="164" fontId="9" fillId="5" borderId="2" xfId="0" applyNumberFormat="1" applyFont="1" applyFill="1" applyBorder="1"/>
    <xf numFmtId="167" fontId="6" fillId="5" borderId="2" xfId="0" applyNumberFormat="1" applyFont="1" applyFill="1" applyBorder="1"/>
    <xf numFmtId="167" fontId="9" fillId="5" borderId="2" xfId="0" applyNumberFormat="1" applyFont="1" applyFill="1" applyBorder="1"/>
    <xf numFmtId="164" fontId="7" fillId="5" borderId="2" xfId="0" applyNumberFormat="1" applyFont="1" applyFill="1" applyBorder="1"/>
    <xf numFmtId="168" fontId="9" fillId="5" borderId="2" xfId="0" applyNumberFormat="1" applyFont="1" applyFill="1" applyBorder="1"/>
    <xf numFmtId="170" fontId="6" fillId="5" borderId="2" xfId="0" applyNumberFormat="1" applyFont="1" applyFill="1" applyBorder="1"/>
    <xf numFmtId="168" fontId="6" fillId="5" borderId="2" xfId="0" applyNumberFormat="1" applyFont="1" applyFill="1" applyBorder="1"/>
    <xf numFmtId="4" fontId="9" fillId="5" borderId="2" xfId="0" applyNumberFormat="1" applyFont="1" applyFill="1" applyBorder="1"/>
    <xf numFmtId="169" fontId="9" fillId="5" borderId="2" xfId="0" applyNumberFormat="1" applyFont="1" applyFill="1" applyBorder="1"/>
    <xf numFmtId="164" fontId="6" fillId="6" borderId="2" xfId="0" applyNumberFormat="1" applyFont="1" applyFill="1" applyBorder="1"/>
    <xf numFmtId="0" fontId="5" fillId="3" borderId="2" xfId="0" applyFont="1" applyFill="1" applyBorder="1" applyAlignment="1">
      <alignment vertical="top" wrapText="1"/>
    </xf>
    <xf numFmtId="0" fontId="10" fillId="2" borderId="2" xfId="0" applyFont="1" applyFill="1" applyBorder="1"/>
    <xf numFmtId="0" fontId="6" fillId="6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 wrapText="1"/>
    </xf>
    <xf numFmtId="0" fontId="11" fillId="0" borderId="0" xfId="0" applyFont="1"/>
    <xf numFmtId="0" fontId="3" fillId="0" borderId="0" xfId="0" applyFont="1" applyAlignment="1">
      <alignment vertical="top"/>
    </xf>
    <xf numFmtId="0" fontId="5" fillId="3" borderId="3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7" borderId="2" xfId="0" applyFont="1" applyFill="1" applyBorder="1"/>
    <xf numFmtId="0" fontId="1" fillId="8" borderId="0" xfId="0" applyFont="1" applyFill="1"/>
    <xf numFmtId="0" fontId="12" fillId="9" borderId="0" xfId="0" applyFont="1" applyFill="1"/>
    <xf numFmtId="0" fontId="4" fillId="10" borderId="0" xfId="0" applyFont="1" applyFill="1"/>
    <xf numFmtId="0" fontId="11" fillId="9" borderId="0" xfId="0" applyFont="1" applyFill="1"/>
    <xf numFmtId="0" fontId="12" fillId="0" borderId="0" xfId="0" applyFont="1"/>
    <xf numFmtId="0" fontId="5" fillId="7" borderId="0" xfId="0" applyFont="1" applyFill="1"/>
    <xf numFmtId="171" fontId="12" fillId="11" borderId="0" xfId="0" applyNumberFormat="1" applyFont="1" applyFill="1"/>
    <xf numFmtId="164" fontId="12" fillId="11" borderId="0" xfId="0" applyNumberFormat="1" applyFont="1" applyFill="1"/>
    <xf numFmtId="0" fontId="12" fillId="11" borderId="0" xfId="0" applyFont="1" applyFill="1"/>
    <xf numFmtId="171" fontId="0" fillId="11" borderId="0" xfId="0" applyNumberFormat="1" applyFill="1"/>
    <xf numFmtId="164" fontId="0" fillId="11" borderId="0" xfId="0" applyNumberFormat="1" applyFill="1"/>
    <xf numFmtId="9" fontId="5" fillId="7" borderId="0" xfId="0" applyNumberFormat="1" applyFont="1" applyFill="1"/>
    <xf numFmtId="0" fontId="0" fillId="11" borderId="0" xfId="0" applyFill="1"/>
    <xf numFmtId="168" fontId="0" fillId="11" borderId="0" xfId="0" applyNumberFormat="1" applyFill="1"/>
    <xf numFmtId="172" fontId="0" fillId="11" borderId="0" xfId="0" applyNumberFormat="1" applyFill="1"/>
    <xf numFmtId="0" fontId="12" fillId="0" borderId="3" xfId="0" applyFont="1" applyBorder="1" applyAlignment="1">
      <alignment vertical="top" wrapText="1"/>
    </xf>
    <xf numFmtId="0" fontId="1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4.44140625" defaultRowHeight="15" customHeight="1" x14ac:dyDescent="0.3"/>
  <cols>
    <col min="1" max="1" width="52" customWidth="1"/>
    <col min="2" max="2" width="62" customWidth="1"/>
    <col min="3" max="8" width="15" customWidth="1"/>
    <col min="9" max="26" width="8.6640625" customWidth="1"/>
  </cols>
  <sheetData>
    <row r="1" spans="1:8" ht="24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1</v>
      </c>
    </row>
    <row r="4" spans="1:8" ht="14.4" x14ac:dyDescent="0.3">
      <c r="A4" s="4" t="s">
        <v>2</v>
      </c>
    </row>
    <row r="5" spans="1:8" ht="14.4" x14ac:dyDescent="0.3">
      <c r="A5" s="5" t="s">
        <v>3</v>
      </c>
      <c r="B5" s="6" t="s">
        <v>4</v>
      </c>
    </row>
    <row r="6" spans="1:8" ht="14.4" x14ac:dyDescent="0.3">
      <c r="A6" s="8" t="s">
        <v>5</v>
      </c>
      <c r="B6" s="6" t="s">
        <v>6</v>
      </c>
    </row>
    <row r="7" spans="1:8" ht="14.4" x14ac:dyDescent="0.3">
      <c r="A7" s="9" t="s">
        <v>7</v>
      </c>
      <c r="B7" s="6" t="s">
        <v>8</v>
      </c>
    </row>
    <row r="8" spans="1:8" ht="14.4" x14ac:dyDescent="0.3">
      <c r="A8" s="11" t="s">
        <v>9</v>
      </c>
      <c r="B8" s="6" t="s">
        <v>10</v>
      </c>
    </row>
    <row r="10" spans="1:8" ht="14.4" x14ac:dyDescent="0.3">
      <c r="A10" s="4" t="s">
        <v>11</v>
      </c>
    </row>
    <row r="11" spans="1:8" ht="14.4" x14ac:dyDescent="0.3">
      <c r="A11" s="12" t="s">
        <v>12</v>
      </c>
      <c r="B11" s="6" t="s">
        <v>13</v>
      </c>
    </row>
    <row r="12" spans="1:8" ht="14.4" x14ac:dyDescent="0.3">
      <c r="A12" s="12" t="s">
        <v>14</v>
      </c>
      <c r="B12" s="6" t="s">
        <v>15</v>
      </c>
    </row>
    <row r="13" spans="1:8" ht="14.4" x14ac:dyDescent="0.3">
      <c r="A13" s="12" t="s">
        <v>16</v>
      </c>
      <c r="B13" s="6" t="s">
        <v>17</v>
      </c>
    </row>
    <row r="14" spans="1:8" ht="14.4" x14ac:dyDescent="0.3">
      <c r="A14" s="12" t="s">
        <v>18</v>
      </c>
      <c r="B14" s="6" t="s">
        <v>19</v>
      </c>
    </row>
    <row r="15" spans="1:8" ht="14.4" x14ac:dyDescent="0.3">
      <c r="A15" s="12" t="s">
        <v>20</v>
      </c>
      <c r="B15" s="6" t="s">
        <v>21</v>
      </c>
    </row>
    <row r="16" spans="1:8" ht="14.4" x14ac:dyDescent="0.3">
      <c r="A16" s="12" t="s">
        <v>22</v>
      </c>
      <c r="B16" s="6" t="s">
        <v>23</v>
      </c>
    </row>
    <row r="18" spans="1:1" ht="14.4" x14ac:dyDescent="0.3">
      <c r="A18" s="4" t="s">
        <v>24</v>
      </c>
    </row>
    <row r="19" spans="1:1" ht="14.4" x14ac:dyDescent="0.3">
      <c r="A19" s="6" t="s">
        <v>25</v>
      </c>
    </row>
    <row r="20" spans="1:1" ht="14.4" x14ac:dyDescent="0.3">
      <c r="A20" s="6" t="s">
        <v>26</v>
      </c>
    </row>
    <row r="21" spans="1:1" ht="15.75" customHeight="1" x14ac:dyDescent="0.3">
      <c r="A21" s="6" t="s">
        <v>27</v>
      </c>
    </row>
    <row r="22" spans="1:1" ht="15.75" customHeight="1" x14ac:dyDescent="0.3"/>
    <row r="23" spans="1:1" ht="15.75" customHeight="1" x14ac:dyDescent="0.3">
      <c r="A23" s="3" t="s">
        <v>28</v>
      </c>
    </row>
    <row r="24" spans="1:1" ht="15.75" customHeight="1" x14ac:dyDescent="0.3">
      <c r="A24" s="3" t="s">
        <v>29</v>
      </c>
    </row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4140625" defaultRowHeight="15" customHeight="1" x14ac:dyDescent="0.3"/>
  <cols>
    <col min="1" max="1" width="46" customWidth="1"/>
    <col min="2" max="3" width="16" customWidth="1"/>
    <col min="4" max="4" width="52" customWidth="1"/>
    <col min="5" max="8" width="15" customWidth="1"/>
    <col min="9" max="26" width="8.6640625" customWidth="1"/>
  </cols>
  <sheetData>
    <row r="1" spans="1:8" ht="24" customHeight="1" x14ac:dyDescent="0.3">
      <c r="A1" s="1" t="s">
        <v>30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31</v>
      </c>
    </row>
    <row r="3" spans="1:8" ht="14.4" x14ac:dyDescent="0.3">
      <c r="E3" s="43" t="s">
        <v>32</v>
      </c>
    </row>
    <row r="4" spans="1:8" ht="14.4" x14ac:dyDescent="0.3">
      <c r="A4" s="7" t="s">
        <v>33</v>
      </c>
      <c r="B4" s="10"/>
      <c r="C4" s="10"/>
      <c r="D4" s="10"/>
      <c r="E4" s="10"/>
      <c r="F4" s="10"/>
      <c r="G4" s="10"/>
      <c r="H4" s="10"/>
    </row>
    <row r="5" spans="1:8" ht="90" customHeight="1" x14ac:dyDescent="0.3">
      <c r="A5" s="6" t="s">
        <v>34</v>
      </c>
      <c r="B5" s="39" t="s">
        <v>35</v>
      </c>
      <c r="D5" s="3" t="s">
        <v>36</v>
      </c>
      <c r="E5" s="44" t="s">
        <v>37</v>
      </c>
    </row>
    <row r="6" spans="1:8" ht="14.4" x14ac:dyDescent="0.3">
      <c r="A6" s="6" t="s">
        <v>38</v>
      </c>
      <c r="B6" s="13" t="s">
        <v>39</v>
      </c>
      <c r="D6" s="3" t="s">
        <v>40</v>
      </c>
      <c r="E6" s="44" t="s">
        <v>41</v>
      </c>
    </row>
    <row r="8" spans="1:8" ht="14.4" x14ac:dyDescent="0.3">
      <c r="A8" s="7" t="s">
        <v>42</v>
      </c>
      <c r="B8" s="10"/>
      <c r="C8" s="10"/>
      <c r="D8" s="10"/>
      <c r="E8" s="10"/>
      <c r="F8" s="10"/>
      <c r="G8" s="10"/>
      <c r="H8" s="10"/>
    </row>
    <row r="9" spans="1:8" ht="14.4" x14ac:dyDescent="0.3">
      <c r="A9" s="6" t="s">
        <v>43</v>
      </c>
      <c r="B9" s="14">
        <v>1500</v>
      </c>
      <c r="C9" s="3" t="s">
        <v>44</v>
      </c>
      <c r="E9" s="44" t="s">
        <v>45</v>
      </c>
    </row>
    <row r="10" spans="1:8" ht="14.4" x14ac:dyDescent="0.3">
      <c r="A10" s="6" t="s">
        <v>46</v>
      </c>
      <c r="B10" s="15">
        <v>0.7</v>
      </c>
      <c r="D10" s="3" t="s">
        <v>47</v>
      </c>
      <c r="E10" s="44" t="s">
        <v>48</v>
      </c>
    </row>
    <row r="11" spans="1:8" ht="14.4" x14ac:dyDescent="0.3">
      <c r="A11" s="6" t="s">
        <v>49</v>
      </c>
      <c r="B11" s="17">
        <f>B9*B10</f>
        <v>1050</v>
      </c>
      <c r="C11" s="3" t="s">
        <v>44</v>
      </c>
      <c r="D11" s="3" t="s">
        <v>50</v>
      </c>
    </row>
    <row r="12" spans="1:8" ht="14.4" x14ac:dyDescent="0.3">
      <c r="A12" s="6" t="s">
        <v>51</v>
      </c>
      <c r="B12" s="17">
        <f>B9-B11</f>
        <v>450</v>
      </c>
      <c r="C12" s="3" t="s">
        <v>44</v>
      </c>
      <c r="D12" s="3" t="s">
        <v>52</v>
      </c>
    </row>
    <row r="14" spans="1:8" ht="14.4" x14ac:dyDescent="0.3">
      <c r="A14" s="7" t="s">
        <v>53</v>
      </c>
      <c r="B14" s="10"/>
      <c r="C14" s="10"/>
      <c r="D14" s="10"/>
      <c r="E14" s="10"/>
      <c r="F14" s="10"/>
      <c r="G14" s="10"/>
      <c r="H14" s="10"/>
    </row>
    <row r="15" spans="1:8" ht="14.4" x14ac:dyDescent="0.3">
      <c r="A15" s="6" t="s">
        <v>54</v>
      </c>
      <c r="B15" s="20">
        <v>1</v>
      </c>
      <c r="D15" s="3" t="s">
        <v>55</v>
      </c>
      <c r="E15" s="44" t="s">
        <v>56</v>
      </c>
    </row>
    <row r="16" spans="1:8" ht="14.4" x14ac:dyDescent="0.3">
      <c r="A16" s="6" t="s">
        <v>57</v>
      </c>
      <c r="B16" s="20">
        <v>5</v>
      </c>
      <c r="E16" s="44" t="s">
        <v>58</v>
      </c>
    </row>
    <row r="17" spans="1:5" ht="14.4" x14ac:dyDescent="0.3">
      <c r="A17" s="6" t="s">
        <v>59</v>
      </c>
      <c r="B17" s="20">
        <v>2</v>
      </c>
      <c r="D17" s="3" t="s">
        <v>60</v>
      </c>
      <c r="E17" s="44" t="s">
        <v>61</v>
      </c>
    </row>
    <row r="18" spans="1:5" ht="14.4" x14ac:dyDescent="0.3">
      <c r="A18" s="6" t="s">
        <v>62</v>
      </c>
      <c r="B18" s="20">
        <v>0.1</v>
      </c>
      <c r="D18" s="3" t="s">
        <v>63</v>
      </c>
      <c r="E18" s="44" t="s">
        <v>64</v>
      </c>
    </row>
    <row r="19" spans="1:5" ht="14.4" x14ac:dyDescent="0.3">
      <c r="A19" s="6" t="s">
        <v>65</v>
      </c>
      <c r="B19" s="14">
        <v>6</v>
      </c>
      <c r="C19" s="3" t="s">
        <v>66</v>
      </c>
      <c r="E19" s="44" t="s">
        <v>67</v>
      </c>
    </row>
    <row r="20" spans="1:5" ht="14.4" x14ac:dyDescent="0.3">
      <c r="A20" s="6" t="s">
        <v>68</v>
      </c>
      <c r="B20" s="14">
        <v>3500</v>
      </c>
      <c r="C20" s="3" t="s">
        <v>69</v>
      </c>
      <c r="D20" s="3" t="s">
        <v>70</v>
      </c>
      <c r="E20" s="44" t="s">
        <v>71</v>
      </c>
    </row>
    <row r="21" spans="1:5" ht="15.75" customHeight="1" x14ac:dyDescent="0.3">
      <c r="A21" s="6" t="s">
        <v>72</v>
      </c>
      <c r="B21" s="14">
        <v>1400</v>
      </c>
      <c r="C21" s="3" t="s">
        <v>69</v>
      </c>
      <c r="D21" s="3" t="s">
        <v>73</v>
      </c>
      <c r="E21" s="44" t="s">
        <v>74</v>
      </c>
    </row>
    <row r="22" spans="1:5" ht="15.75" customHeight="1" x14ac:dyDescent="0.3">
      <c r="A22" s="6" t="s">
        <v>75</v>
      </c>
      <c r="B22" s="14">
        <v>200</v>
      </c>
      <c r="C22" s="3" t="s">
        <v>69</v>
      </c>
      <c r="E22" s="44" t="s">
        <v>76</v>
      </c>
    </row>
    <row r="23" spans="1:5" ht="15.75" customHeight="1" x14ac:dyDescent="0.3">
      <c r="A23" s="6" t="s">
        <v>77</v>
      </c>
      <c r="B23" s="22">
        <f>B20*B17/1000000</f>
        <v>7.0000000000000001E-3</v>
      </c>
    </row>
    <row r="24" spans="1:5" ht="15.75" customHeight="1" x14ac:dyDescent="0.3">
      <c r="A24" s="6" t="s">
        <v>78</v>
      </c>
      <c r="B24" s="22">
        <f>(B19-1)*B20*B18/1000000</f>
        <v>1.75E-3</v>
      </c>
    </row>
    <row r="25" spans="1:5" ht="15.75" customHeight="1" x14ac:dyDescent="0.3">
      <c r="A25" s="6" t="s">
        <v>79</v>
      </c>
      <c r="B25" s="22">
        <f>B19*B21*B15/1000000</f>
        <v>8.3999999999999995E-3</v>
      </c>
    </row>
    <row r="26" spans="1:5" ht="15.75" customHeight="1" x14ac:dyDescent="0.3">
      <c r="A26" s="6" t="s">
        <v>80</v>
      </c>
      <c r="B26" s="22">
        <f>B19*B22*B16/1000000</f>
        <v>6.0000000000000001E-3</v>
      </c>
    </row>
    <row r="27" spans="1:5" ht="15.75" customHeight="1" x14ac:dyDescent="0.3">
      <c r="A27" s="12" t="s">
        <v>81</v>
      </c>
      <c r="B27" s="21">
        <f>SUM(B23:B26)</f>
        <v>2.3149999999999997E-2</v>
      </c>
    </row>
    <row r="28" spans="1:5" ht="15.75" customHeight="1" x14ac:dyDescent="0.3">
      <c r="A28" s="6" t="s">
        <v>82</v>
      </c>
      <c r="B28" s="22">
        <f>B19*(B20+B21)*B15/1000000+B26</f>
        <v>3.5400000000000001E-2</v>
      </c>
    </row>
    <row r="29" spans="1:5" ht="15.75" customHeight="1" x14ac:dyDescent="0.3">
      <c r="A29" s="6" t="s">
        <v>83</v>
      </c>
      <c r="B29" s="26">
        <f>IF(B28=0,0,1-B27/B28)</f>
        <v>0.34604519774011311</v>
      </c>
      <c r="D29" s="3" t="s">
        <v>84</v>
      </c>
    </row>
    <row r="30" spans="1:5" ht="15.75" customHeight="1" x14ac:dyDescent="0.3">
      <c r="A30" s="6" t="s">
        <v>85</v>
      </c>
      <c r="B30" s="14">
        <v>0</v>
      </c>
      <c r="D30" s="3" t="s">
        <v>86</v>
      </c>
      <c r="E30" s="44" t="s">
        <v>87</v>
      </c>
    </row>
    <row r="31" spans="1:5" ht="15.75" customHeight="1" x14ac:dyDescent="0.3">
      <c r="A31" s="12" t="s">
        <v>88</v>
      </c>
      <c r="B31" s="21">
        <f>B27*(1-B30*0.5)</f>
        <v>2.3149999999999997E-2</v>
      </c>
    </row>
    <row r="32" spans="1:5" ht="15.75" customHeight="1" x14ac:dyDescent="0.3"/>
    <row r="33" spans="1:8" ht="15.75" customHeight="1" x14ac:dyDescent="0.3">
      <c r="A33" s="7" t="s">
        <v>89</v>
      </c>
      <c r="B33" s="10"/>
      <c r="C33" s="10"/>
      <c r="D33" s="10"/>
      <c r="E33" s="10"/>
      <c r="F33" s="10"/>
      <c r="G33" s="10"/>
      <c r="H33" s="10"/>
    </row>
    <row r="34" spans="1:8" ht="15.75" customHeight="1" x14ac:dyDescent="0.3">
      <c r="A34" s="6" t="s">
        <v>90</v>
      </c>
      <c r="B34" s="27">
        <v>0</v>
      </c>
      <c r="D34" s="3" t="s">
        <v>91</v>
      </c>
      <c r="E34" s="44" t="s">
        <v>92</v>
      </c>
    </row>
    <row r="35" spans="1:8" ht="15.75" customHeight="1" x14ac:dyDescent="0.3">
      <c r="A35" s="6" t="s">
        <v>93</v>
      </c>
      <c r="B35" s="19">
        <v>0</v>
      </c>
      <c r="C35" s="3" t="s">
        <v>94</v>
      </c>
      <c r="E35" s="44" t="s">
        <v>95</v>
      </c>
    </row>
    <row r="36" spans="1:8" ht="15.75" customHeight="1" x14ac:dyDescent="0.3">
      <c r="A36" s="6" t="s">
        <v>96</v>
      </c>
      <c r="B36" s="20">
        <v>0</v>
      </c>
      <c r="D36" s="3" t="s">
        <v>97</v>
      </c>
      <c r="E36" s="44" t="s">
        <v>95</v>
      </c>
    </row>
    <row r="37" spans="1:8" ht="15.75" customHeight="1" x14ac:dyDescent="0.3">
      <c r="A37" s="6" t="s">
        <v>98</v>
      </c>
      <c r="B37" s="14">
        <v>0</v>
      </c>
      <c r="C37" s="3" t="s">
        <v>99</v>
      </c>
      <c r="D37" s="3" t="s">
        <v>100</v>
      </c>
      <c r="E37" s="44" t="s">
        <v>95</v>
      </c>
    </row>
    <row r="38" spans="1:8" ht="15.75" customHeight="1" x14ac:dyDescent="0.3">
      <c r="A38" s="6" t="s">
        <v>101</v>
      </c>
      <c r="B38" s="22">
        <f>B34*B35+B36*B37/1000000</f>
        <v>0</v>
      </c>
    </row>
    <row r="39" spans="1:8" ht="15.75" customHeight="1" x14ac:dyDescent="0.3"/>
    <row r="40" spans="1:8" ht="15.75" customHeight="1" x14ac:dyDescent="0.3">
      <c r="A40" s="7" t="s">
        <v>102</v>
      </c>
      <c r="B40" s="10"/>
      <c r="C40" s="10"/>
      <c r="D40" s="10"/>
      <c r="E40" s="10"/>
      <c r="F40" s="10"/>
      <c r="G40" s="10"/>
      <c r="H40" s="10"/>
    </row>
    <row r="41" spans="1:8" ht="15.75" customHeight="1" x14ac:dyDescent="0.3">
      <c r="A41" s="6" t="s">
        <v>103</v>
      </c>
      <c r="B41" s="27">
        <v>5.0000000000000001E-3</v>
      </c>
      <c r="D41" s="3" t="s">
        <v>104</v>
      </c>
      <c r="E41" s="44" t="s">
        <v>105</v>
      </c>
    </row>
    <row r="42" spans="1:8" ht="15.75" customHeight="1" x14ac:dyDescent="0.3">
      <c r="A42" s="6" t="s">
        <v>106</v>
      </c>
      <c r="B42" s="27">
        <v>0</v>
      </c>
      <c r="E42" s="44" t="s">
        <v>107</v>
      </c>
    </row>
    <row r="43" spans="1:8" ht="15.75" customHeight="1" x14ac:dyDescent="0.3">
      <c r="A43" s="6" t="s">
        <v>108</v>
      </c>
      <c r="B43" s="22">
        <f>B41+B42*B35</f>
        <v>5.0000000000000001E-3</v>
      </c>
    </row>
    <row r="44" spans="1:8" ht="15.75" customHeight="1" x14ac:dyDescent="0.3"/>
    <row r="45" spans="1:8" ht="15.75" customHeight="1" x14ac:dyDescent="0.3">
      <c r="A45" s="7" t="s">
        <v>109</v>
      </c>
      <c r="B45" s="10"/>
      <c r="C45" s="10"/>
      <c r="D45" s="10"/>
      <c r="E45" s="10"/>
      <c r="F45" s="10"/>
      <c r="G45" s="10"/>
      <c r="H45" s="10"/>
    </row>
    <row r="46" spans="1:8" ht="15.75" customHeight="1" x14ac:dyDescent="0.3">
      <c r="A46" s="6" t="s">
        <v>110</v>
      </c>
      <c r="B46" s="15">
        <v>0.06</v>
      </c>
      <c r="D46" s="3" t="s">
        <v>111</v>
      </c>
      <c r="E46" s="44" t="s">
        <v>112</v>
      </c>
    </row>
    <row r="47" spans="1:8" ht="15.75" customHeight="1" x14ac:dyDescent="0.3">
      <c r="A47" s="6" t="s">
        <v>113</v>
      </c>
      <c r="B47" s="22">
        <f>(B31+B38)*B46</f>
        <v>1.3889999999999998E-3</v>
      </c>
    </row>
    <row r="48" spans="1:8" ht="15.75" customHeight="1" x14ac:dyDescent="0.3"/>
    <row r="49" spans="1:8" ht="15.75" customHeight="1" x14ac:dyDescent="0.3">
      <c r="A49" s="7" t="s">
        <v>114</v>
      </c>
      <c r="B49" s="10"/>
      <c r="C49" s="10"/>
      <c r="D49" s="10"/>
      <c r="E49" s="10"/>
      <c r="F49" s="10"/>
      <c r="G49" s="10"/>
      <c r="H49" s="10"/>
    </row>
    <row r="50" spans="1:8" ht="15.75" customHeight="1" x14ac:dyDescent="0.3">
      <c r="A50" s="6" t="s">
        <v>115</v>
      </c>
      <c r="B50" s="20">
        <f>12500000/176/B68</f>
        <v>2.7118261654344131</v>
      </c>
      <c r="D50" s="3" t="s">
        <v>116</v>
      </c>
      <c r="E50" s="44" t="s">
        <v>117</v>
      </c>
    </row>
    <row r="51" spans="1:8" ht="15.75" customHeight="1" x14ac:dyDescent="0.3">
      <c r="A51" s="6" t="s">
        <v>118</v>
      </c>
      <c r="B51" s="15">
        <v>0.05</v>
      </c>
      <c r="D51" s="3" t="s">
        <v>119</v>
      </c>
      <c r="E51" s="44" t="s">
        <v>120</v>
      </c>
    </row>
    <row r="52" spans="1:8" ht="15.75" customHeight="1" x14ac:dyDescent="0.3">
      <c r="A52" s="6" t="s">
        <v>121</v>
      </c>
      <c r="B52" s="19">
        <v>1.5</v>
      </c>
      <c r="C52" s="3" t="s">
        <v>94</v>
      </c>
      <c r="E52" s="44" t="s">
        <v>122</v>
      </c>
    </row>
    <row r="53" spans="1:8" ht="15.75" customHeight="1" x14ac:dyDescent="0.3">
      <c r="A53" s="6" t="s">
        <v>123</v>
      </c>
      <c r="B53" s="19">
        <v>3</v>
      </c>
      <c r="C53" s="3" t="s">
        <v>94</v>
      </c>
      <c r="E53" s="44" t="s">
        <v>124</v>
      </c>
    </row>
    <row r="54" spans="1:8" ht="15.75" customHeight="1" x14ac:dyDescent="0.3">
      <c r="A54" s="6" t="s">
        <v>125</v>
      </c>
      <c r="B54" s="30">
        <f>B9*B51*(B52/60)*B50</f>
        <v>5.0846740601895242</v>
      </c>
    </row>
    <row r="55" spans="1:8" ht="15.75" customHeight="1" x14ac:dyDescent="0.3">
      <c r="A55" s="6" t="s">
        <v>126</v>
      </c>
      <c r="B55" s="30">
        <f>IF(B6="B",B12*(B53/60)*B50,0)</f>
        <v>0</v>
      </c>
      <c r="D55" s="3" t="s">
        <v>127</v>
      </c>
    </row>
    <row r="56" spans="1:8" ht="15.75" customHeight="1" x14ac:dyDescent="0.3">
      <c r="A56" s="12" t="s">
        <v>128</v>
      </c>
      <c r="B56" s="31">
        <f>B54+B55</f>
        <v>5.0846740601895242</v>
      </c>
    </row>
    <row r="57" spans="1:8" ht="15.75" customHeight="1" x14ac:dyDescent="0.3"/>
    <row r="58" spans="1:8" ht="15.75" customHeight="1" x14ac:dyDescent="0.3">
      <c r="A58" s="7" t="s">
        <v>129</v>
      </c>
      <c r="B58" s="10"/>
      <c r="C58" s="10"/>
      <c r="D58" s="10"/>
      <c r="E58" s="10"/>
      <c r="F58" s="10"/>
      <c r="G58" s="10"/>
      <c r="H58" s="10"/>
    </row>
    <row r="59" spans="1:8" ht="15.75" customHeight="1" x14ac:dyDescent="0.3">
      <c r="A59" s="6" t="s">
        <v>130</v>
      </c>
      <c r="B59" s="20">
        <v>0</v>
      </c>
      <c r="D59" s="3" t="s">
        <v>131</v>
      </c>
      <c r="E59" s="44" t="s">
        <v>132</v>
      </c>
    </row>
    <row r="60" spans="1:8" ht="15.75" customHeight="1" x14ac:dyDescent="0.3"/>
    <row r="61" spans="1:8" ht="15.75" customHeight="1" x14ac:dyDescent="0.3">
      <c r="A61" s="7" t="s">
        <v>133</v>
      </c>
      <c r="B61" s="10"/>
      <c r="C61" s="10"/>
      <c r="D61" s="10"/>
      <c r="E61" s="10"/>
      <c r="F61" s="10"/>
      <c r="G61" s="10"/>
      <c r="H61" s="10"/>
    </row>
    <row r="62" spans="1:8" ht="15.75" customHeight="1" x14ac:dyDescent="0.3">
      <c r="A62" s="6" t="s">
        <v>134</v>
      </c>
      <c r="B62" s="30">
        <f>B9*(B31+B38+B43+B47)</f>
        <v>44.308500000000002</v>
      </c>
    </row>
    <row r="63" spans="1:8" ht="15.75" customHeight="1" x14ac:dyDescent="0.3">
      <c r="A63" s="6" t="s">
        <v>135</v>
      </c>
      <c r="B63" s="30">
        <f>B56</f>
        <v>5.0846740601895242</v>
      </c>
    </row>
    <row r="64" spans="1:8" ht="15.75" customHeight="1" x14ac:dyDescent="0.3">
      <c r="A64" s="6" t="s">
        <v>136</v>
      </c>
      <c r="B64" s="30">
        <f>B59</f>
        <v>0</v>
      </c>
    </row>
    <row r="65" spans="1:8" ht="15.75" customHeight="1" x14ac:dyDescent="0.3">
      <c r="A65" s="6" t="s">
        <v>137</v>
      </c>
      <c r="B65" s="30">
        <f>B62+B63+B64</f>
        <v>49.393174060189523</v>
      </c>
    </row>
    <row r="66" spans="1:8" ht="15.75" customHeight="1" x14ac:dyDescent="0.3">
      <c r="A66" s="12" t="s">
        <v>138</v>
      </c>
      <c r="B66" s="21">
        <f>IF(B11=0,0,(B62+B63)/B11)</f>
        <v>4.7041118152561449E-2</v>
      </c>
      <c r="C66" s="3" t="s">
        <v>139</v>
      </c>
      <c r="D66" s="3" t="s">
        <v>140</v>
      </c>
    </row>
    <row r="67" spans="1:8" ht="15.75" customHeight="1" x14ac:dyDescent="0.3">
      <c r="A67" s="12" t="s">
        <v>141</v>
      </c>
      <c r="B67" s="21">
        <f>IF(B11=0,0,B65/B11)</f>
        <v>4.7041118152561449E-2</v>
      </c>
      <c r="C67" s="3" t="s">
        <v>139</v>
      </c>
    </row>
    <row r="68" spans="1:8" ht="15.75" customHeight="1" x14ac:dyDescent="0.3">
      <c r="A68" s="6" t="s">
        <v>142</v>
      </c>
      <c r="B68" s="14">
        <v>26190</v>
      </c>
      <c r="C68" s="3" t="s">
        <v>143</v>
      </c>
      <c r="D68" s="3" t="s">
        <v>144</v>
      </c>
      <c r="E68" s="44" t="s">
        <v>145</v>
      </c>
    </row>
    <row r="69" spans="1:8" ht="15.75" customHeight="1" x14ac:dyDescent="0.3">
      <c r="A69" s="6" t="s">
        <v>146</v>
      </c>
      <c r="B69" s="34">
        <f>B66*B68</f>
        <v>1232.0068844155844</v>
      </c>
      <c r="C69" s="3" t="s">
        <v>147</v>
      </c>
    </row>
    <row r="70" spans="1:8" ht="15.75" customHeight="1" x14ac:dyDescent="0.3"/>
    <row r="71" spans="1:8" ht="15.75" customHeight="1" x14ac:dyDescent="0.3">
      <c r="A71" s="7" t="s">
        <v>148</v>
      </c>
      <c r="B71" s="10"/>
      <c r="C71" s="10"/>
      <c r="D71" s="10"/>
      <c r="E71" s="10"/>
      <c r="F71" s="10"/>
      <c r="G71" s="10"/>
      <c r="H71" s="10"/>
    </row>
    <row r="72" spans="1:8" ht="15.75" customHeight="1" x14ac:dyDescent="0.3">
      <c r="A72" s="6" t="s">
        <v>149</v>
      </c>
      <c r="B72" s="30">
        <f>B9*B31</f>
        <v>34.724999999999994</v>
      </c>
      <c r="C72" s="26">
        <f t="shared" ref="C72:C77" si="0">IF($B$65=0,0,B72/$B$65)</f>
        <v>0.70303236551845827</v>
      </c>
    </row>
    <row r="73" spans="1:8" ht="15.75" customHeight="1" x14ac:dyDescent="0.3">
      <c r="A73" s="6" t="s">
        <v>150</v>
      </c>
      <c r="B73" s="30">
        <f>B9*B38</f>
        <v>0</v>
      </c>
      <c r="C73" s="26">
        <f t="shared" si="0"/>
        <v>0</v>
      </c>
    </row>
    <row r="74" spans="1:8" ht="15.75" customHeight="1" x14ac:dyDescent="0.3">
      <c r="A74" s="6" t="s">
        <v>151</v>
      </c>
      <c r="B74" s="30">
        <f>B9*B43</f>
        <v>7.5</v>
      </c>
      <c r="C74" s="26">
        <f t="shared" si="0"/>
        <v>0.15184284352450506</v>
      </c>
    </row>
    <row r="75" spans="1:8" ht="15.75" customHeight="1" x14ac:dyDescent="0.3">
      <c r="A75" s="6" t="s">
        <v>152</v>
      </c>
      <c r="B75" s="30">
        <f>B9*B47</f>
        <v>2.0834999999999999</v>
      </c>
      <c r="C75" s="26">
        <f t="shared" si="0"/>
        <v>4.2181941931107504E-2</v>
      </c>
    </row>
    <row r="76" spans="1:8" ht="15.75" customHeight="1" x14ac:dyDescent="0.3">
      <c r="A76" s="6" t="s">
        <v>153</v>
      </c>
      <c r="B76" s="30">
        <f>B56</f>
        <v>5.0846740601895242</v>
      </c>
      <c r="C76" s="26">
        <f t="shared" si="0"/>
        <v>0.10294284902592903</v>
      </c>
    </row>
    <row r="77" spans="1:8" ht="15.75" customHeight="1" x14ac:dyDescent="0.3">
      <c r="A77" s="6" t="s">
        <v>154</v>
      </c>
      <c r="B77" s="30">
        <f>B59</f>
        <v>0</v>
      </c>
      <c r="C77" s="26">
        <f t="shared" si="0"/>
        <v>0</v>
      </c>
    </row>
    <row r="78" spans="1:8" ht="15.75" customHeight="1" x14ac:dyDescent="0.3">
      <c r="A78" s="3" t="s">
        <v>155</v>
      </c>
    </row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qref="B6" xr:uid="{00000000-0002-0000-0100-000000000000}">
      <formula1>"A,B"</formula1>
    </dataValidation>
  </dataValidations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 x14ac:dyDescent="0.3"/>
  <cols>
    <col min="1" max="1" width="46" customWidth="1"/>
    <col min="2" max="3" width="16" customWidth="1"/>
    <col min="4" max="4" width="54" customWidth="1"/>
    <col min="5" max="8" width="15" customWidth="1"/>
    <col min="9" max="26" width="8.6640625" customWidth="1"/>
  </cols>
  <sheetData>
    <row r="1" spans="1:8" ht="24" customHeight="1" x14ac:dyDescent="0.3">
      <c r="A1" s="1" t="s">
        <v>156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157</v>
      </c>
    </row>
    <row r="3" spans="1:8" ht="14.4" x14ac:dyDescent="0.3">
      <c r="E3" s="43" t="s">
        <v>158</v>
      </c>
    </row>
    <row r="4" spans="1:8" ht="14.4" x14ac:dyDescent="0.3">
      <c r="A4" s="7" t="s">
        <v>159</v>
      </c>
      <c r="B4" s="10"/>
      <c r="C4" s="10"/>
      <c r="D4" s="10"/>
      <c r="E4" s="10"/>
      <c r="F4" s="10"/>
      <c r="G4" s="10"/>
      <c r="H4" s="10"/>
    </row>
    <row r="5" spans="1:8" ht="14.4" x14ac:dyDescent="0.3">
      <c r="A5" s="6" t="s">
        <v>160</v>
      </c>
      <c r="B5" s="18">
        <f>'1_Cost_Job'!B66</f>
        <v>4.7041118152561449E-2</v>
      </c>
      <c r="C5" s="3" t="s">
        <v>139</v>
      </c>
    </row>
    <row r="6" spans="1:8" ht="14.4" x14ac:dyDescent="0.3">
      <c r="A6" s="6" t="s">
        <v>161</v>
      </c>
      <c r="B6" s="19">
        <v>3</v>
      </c>
      <c r="C6" s="3" t="s">
        <v>162</v>
      </c>
      <c r="D6" s="3" t="s">
        <v>163</v>
      </c>
      <c r="E6" s="44" t="s">
        <v>164</v>
      </c>
    </row>
    <row r="7" spans="1:8" ht="14.4" x14ac:dyDescent="0.3">
      <c r="A7" s="12" t="s">
        <v>165</v>
      </c>
      <c r="B7" s="21">
        <f>B5*B6</f>
        <v>0.14112335445768434</v>
      </c>
      <c r="C7" s="3" t="s">
        <v>139</v>
      </c>
    </row>
    <row r="9" spans="1:8" ht="14.4" x14ac:dyDescent="0.3">
      <c r="A9" s="7" t="s">
        <v>166</v>
      </c>
      <c r="B9" s="10"/>
      <c r="C9" s="10"/>
      <c r="D9" s="10"/>
      <c r="E9" s="10"/>
      <c r="F9" s="10"/>
      <c r="G9" s="10"/>
      <c r="H9" s="10"/>
    </row>
    <row r="10" spans="1:8" ht="14.4" x14ac:dyDescent="0.3">
      <c r="A10" s="6" t="s">
        <v>167</v>
      </c>
      <c r="B10" s="23">
        <f>(7000000+40*60000)/'1_Cost_Job'!$B$68</f>
        <v>358.9156166475754</v>
      </c>
      <c r="D10" s="3" t="s">
        <v>168</v>
      </c>
      <c r="E10" s="44" t="s">
        <v>169</v>
      </c>
    </row>
    <row r="11" spans="1:8" ht="14.4" x14ac:dyDescent="0.3">
      <c r="A11" s="6" t="s">
        <v>170</v>
      </c>
      <c r="B11" s="14">
        <f>'1_Cost_Job'!B11</f>
        <v>1050</v>
      </c>
      <c r="C11" s="3" t="s">
        <v>44</v>
      </c>
      <c r="E11" s="44" t="s">
        <v>171</v>
      </c>
    </row>
    <row r="12" spans="1:8" ht="14.4" x14ac:dyDescent="0.3">
      <c r="A12" s="6" t="s">
        <v>172</v>
      </c>
      <c r="B12" s="22">
        <f>IF(B11=0,0,B10*0.1/B11)</f>
        <v>3.4182439680721467E-2</v>
      </c>
      <c r="C12" s="3" t="s">
        <v>139</v>
      </c>
    </row>
    <row r="13" spans="1:8" ht="14.4" x14ac:dyDescent="0.3">
      <c r="A13" s="6" t="s">
        <v>173</v>
      </c>
      <c r="B13" s="22">
        <f>IF(B11=0,0,B10*0.25/B11)</f>
        <v>8.5456099201803665E-2</v>
      </c>
      <c r="C13" s="3" t="s">
        <v>139</v>
      </c>
    </row>
    <row r="14" spans="1:8" ht="14.4" x14ac:dyDescent="0.3">
      <c r="A14" s="6" t="s">
        <v>174</v>
      </c>
      <c r="B14" s="23">
        <f>7000000/'1_Cost_Job'!$B$68</f>
        <v>267.27758686521571</v>
      </c>
      <c r="D14" s="3" t="s">
        <v>175</v>
      </c>
      <c r="E14" s="44" t="s">
        <v>176</v>
      </c>
    </row>
    <row r="15" spans="1:8" ht="14.4" x14ac:dyDescent="0.3">
      <c r="A15" s="6" t="s">
        <v>177</v>
      </c>
      <c r="B15" s="22">
        <f>IF(B11=0,0,B14*0.5/B11)</f>
        <v>0.12727504136438844</v>
      </c>
      <c r="C15" s="3" t="s">
        <v>139</v>
      </c>
    </row>
    <row r="16" spans="1:8" ht="14.4" x14ac:dyDescent="0.3">
      <c r="A16" s="6" t="s">
        <v>178</v>
      </c>
      <c r="B16" s="22">
        <f>IF(B11=0,0,B14*0.7/B11)</f>
        <v>0.1781850579101438</v>
      </c>
      <c r="C16" s="3" t="s">
        <v>139</v>
      </c>
    </row>
    <row r="18" spans="1:8" ht="14.4" x14ac:dyDescent="0.3">
      <c r="A18" s="7" t="s">
        <v>179</v>
      </c>
      <c r="B18" s="10"/>
      <c r="C18" s="10"/>
      <c r="D18" s="10"/>
      <c r="E18" s="10"/>
      <c r="F18" s="10"/>
      <c r="G18" s="10"/>
      <c r="H18" s="10"/>
    </row>
    <row r="19" spans="1:8" ht="14.4" x14ac:dyDescent="0.3">
      <c r="A19" s="6" t="s">
        <v>180</v>
      </c>
      <c r="B19" s="27">
        <f>3900/'1_Cost_Job'!$B$68</f>
        <v>0.14891179839633448</v>
      </c>
      <c r="C19" s="3" t="s">
        <v>139</v>
      </c>
      <c r="D19" s="3" t="s">
        <v>181</v>
      </c>
      <c r="E19" s="44" t="s">
        <v>182</v>
      </c>
    </row>
    <row r="20" spans="1:8" ht="14.4" x14ac:dyDescent="0.3">
      <c r="A20" s="6" t="s">
        <v>183</v>
      </c>
      <c r="B20" s="28">
        <f>IF(B5=0,0,B19/B5)</f>
        <v>3.1655667263986165</v>
      </c>
    </row>
    <row r="21" spans="1:8" ht="15.75" customHeight="1" x14ac:dyDescent="0.3">
      <c r="A21" s="12" t="s">
        <v>184</v>
      </c>
      <c r="B21" s="29">
        <f>IF(B19=0,0,(B19-B5)/B19)</f>
        <v>0.68410079886779884</v>
      </c>
    </row>
    <row r="22" spans="1:8" ht="15.75" customHeight="1" x14ac:dyDescent="0.3">
      <c r="A22" s="6" t="s">
        <v>185</v>
      </c>
      <c r="B22" s="8" t="str">
        <f>IF(B20&gt;=B6,"OK — ĐẠT","KHÔNG ĐẠT — quay lại tab 1")</f>
        <v>OK — ĐẠT</v>
      </c>
    </row>
    <row r="23" spans="1:8" ht="15.75" customHeight="1" x14ac:dyDescent="0.3">
      <c r="A23" s="6" t="s">
        <v>186</v>
      </c>
      <c r="B23" s="8" t="str">
        <f>IF(B21&gt;=0.6,"OK — AN TOÀN (≥60%)",IF(B21&gt;=0.5,"CẢNH BÁO (50–60%)","NGUY HIỂM (&lt;50%)"))</f>
        <v>OK — AN TOÀN (≥60%)</v>
      </c>
    </row>
    <row r="24" spans="1:8" ht="15.75" customHeight="1" x14ac:dyDescent="0.3">
      <c r="A24" s="6" t="s">
        <v>187</v>
      </c>
      <c r="B24" s="8" t="str">
        <f>IF(B21&gt;0.85,"NGHI NGỜ — nhiều khả năng bạn quên một khoản chi phí","OK")</f>
        <v>OK</v>
      </c>
    </row>
    <row r="25" spans="1:8" ht="15.75" customHeight="1" x14ac:dyDescent="0.3">
      <c r="A25" s="6" t="s">
        <v>188</v>
      </c>
      <c r="B25" s="8" t="str">
        <f>IF(AND(B19&gt;=B7,B19&lt;=MAX(B13,B16)),"OK — trong vùng giá bán","XEM LẠI — ngoài vùng giá sàn/trần")</f>
        <v>OK — trong vùng giá bán</v>
      </c>
    </row>
    <row r="26" spans="1:8" ht="15.75" customHeight="1" x14ac:dyDescent="0.3"/>
    <row r="27" spans="1:8" ht="15.75" customHeight="1" x14ac:dyDescent="0.3">
      <c r="A27" s="7" t="s">
        <v>189</v>
      </c>
      <c r="B27" s="10"/>
      <c r="C27" s="10"/>
      <c r="D27" s="10"/>
      <c r="E27" s="10"/>
      <c r="F27" s="10"/>
      <c r="G27" s="10"/>
      <c r="H27" s="10"/>
    </row>
    <row r="28" spans="1:8" ht="15.75" customHeight="1" x14ac:dyDescent="0.3">
      <c r="A28" s="3" t="s">
        <v>190</v>
      </c>
    </row>
    <row r="29" spans="1:8" ht="15.75" customHeight="1" x14ac:dyDescent="0.3">
      <c r="A29" s="6" t="s">
        <v>191</v>
      </c>
      <c r="B29" s="18">
        <f>'1_Cost_Job'!B31+'1_Cost_Job'!B38+'1_Cost_Job'!B43+'1_Cost_Job'!B47</f>
        <v>2.9538999999999999E-2</v>
      </c>
    </row>
    <row r="30" spans="1:8" ht="15.75" customHeight="1" x14ac:dyDescent="0.3">
      <c r="A30" s="6" t="s">
        <v>192</v>
      </c>
      <c r="B30" s="18">
        <f>'1_Cost_Job'!B51*('1_Cost_Job'!B52/60)*'1_Cost_Job'!B50</f>
        <v>3.3897827067930169E-3</v>
      </c>
    </row>
    <row r="31" spans="1:8" ht="15.75" customHeight="1" x14ac:dyDescent="0.3">
      <c r="A31" s="6" t="s">
        <v>193</v>
      </c>
      <c r="B31" s="18">
        <f>IF('1_Cost_Job'!B6="B",('1_Cost_Job'!B53/60)*'1_Cost_Job'!B50,0)</f>
        <v>0</v>
      </c>
    </row>
    <row r="32" spans="1:8" ht="15.75" customHeight="1" x14ac:dyDescent="0.3">
      <c r="A32" s="6" t="s">
        <v>194</v>
      </c>
      <c r="B32" s="15">
        <v>0.6</v>
      </c>
      <c r="E32" s="44" t="s">
        <v>195</v>
      </c>
    </row>
    <row r="33" spans="1:8" ht="15.75" customHeight="1" x14ac:dyDescent="0.3">
      <c r="A33" s="12" t="s">
        <v>196</v>
      </c>
      <c r="B33" s="29">
        <f>IF((B19*(1-B32)+B31)=0,0,(B29+B30+B31)/(B19*(1-B32)+B31))</f>
        <v>0.55282360198135194</v>
      </c>
      <c r="D33" s="3" t="s">
        <v>197</v>
      </c>
    </row>
    <row r="34" spans="1:8" ht="15.75" customHeight="1" x14ac:dyDescent="0.3">
      <c r="A34" s="6" t="s">
        <v>198</v>
      </c>
      <c r="B34" s="32">
        <f>'1_Cost_Job'!B10</f>
        <v>0.7</v>
      </c>
    </row>
    <row r="35" spans="1:8" ht="15.75" customHeight="1" x14ac:dyDescent="0.3">
      <c r="A35" s="6" t="s">
        <v>199</v>
      </c>
      <c r="B35" s="8" t="str">
        <f>IF(B34&gt;=B33,"ĐẠT — mô hình có lãi lành mạnh","CHƯA ĐẠT — phải tăng containment, tăng giá, hoặc đổi biến thể HITL")</f>
        <v>ĐẠT — mô hình có lãi lành mạnh</v>
      </c>
    </row>
    <row r="36" spans="1:8" ht="15.75" customHeight="1" x14ac:dyDescent="0.3"/>
    <row r="37" spans="1:8" ht="15.75" customHeight="1" x14ac:dyDescent="0.3">
      <c r="A37" s="7" t="s">
        <v>200</v>
      </c>
      <c r="B37" s="10"/>
      <c r="C37" s="10"/>
      <c r="D37" s="10"/>
      <c r="E37" s="10"/>
      <c r="F37" s="10"/>
      <c r="G37" s="10"/>
      <c r="H37" s="10"/>
    </row>
    <row r="38" spans="1:8" ht="15.75" customHeight="1" x14ac:dyDescent="0.3">
      <c r="A38" s="25" t="s">
        <v>201</v>
      </c>
      <c r="B38" s="25" t="s">
        <v>202</v>
      </c>
      <c r="C38" s="25" t="s">
        <v>203</v>
      </c>
      <c r="D38" s="25" t="s">
        <v>204</v>
      </c>
    </row>
    <row r="39" spans="1:8" ht="15.75" customHeight="1" x14ac:dyDescent="0.3">
      <c r="A39" s="38">
        <v>0.5</v>
      </c>
      <c r="B39" s="22">
        <f t="shared" ref="B39:B44" si="0">($B$29+$B$30+$B$31*(1-A39))/A39</f>
        <v>6.5857565413586033E-2</v>
      </c>
      <c r="C39" s="26">
        <f t="shared" ref="C39:C44" si="1">IF($B$19=0,0,1-B39/$B$19)</f>
        <v>0.55774111841491836</v>
      </c>
      <c r="D39" s="8" t="str">
        <f t="shared" ref="D39:D44" si="2">IF(C39&gt;=0.6,"An toàn",IF(C39&gt;=0.5,"Cảnh báo","Nguy hiểm"))</f>
        <v>Cảnh báo</v>
      </c>
    </row>
    <row r="40" spans="1:8" ht="15.75" customHeight="1" x14ac:dyDescent="0.3">
      <c r="A40" s="38">
        <v>0.6</v>
      </c>
      <c r="B40" s="22">
        <f t="shared" si="0"/>
        <v>5.4881304511321699E-2</v>
      </c>
      <c r="C40" s="26">
        <f t="shared" si="1"/>
        <v>0.63145093201243196</v>
      </c>
      <c r="D40" s="8" t="str">
        <f t="shared" si="2"/>
        <v>An toàn</v>
      </c>
    </row>
    <row r="41" spans="1:8" ht="15.75" customHeight="1" x14ac:dyDescent="0.3">
      <c r="A41" s="38">
        <v>0.7</v>
      </c>
      <c r="B41" s="22">
        <f t="shared" si="0"/>
        <v>4.7041118152561456E-2</v>
      </c>
      <c r="C41" s="26">
        <f t="shared" si="1"/>
        <v>0.68410079886779884</v>
      </c>
      <c r="D41" s="8" t="str">
        <f t="shared" si="2"/>
        <v>An toàn</v>
      </c>
    </row>
    <row r="42" spans="1:8" ht="15.75" customHeight="1" x14ac:dyDescent="0.3">
      <c r="A42" s="38">
        <v>0.8</v>
      </c>
      <c r="B42" s="22">
        <f t="shared" si="0"/>
        <v>4.1160978383491267E-2</v>
      </c>
      <c r="C42" s="26">
        <f t="shared" si="1"/>
        <v>0.72358819900932403</v>
      </c>
      <c r="D42" s="8" t="str">
        <f t="shared" si="2"/>
        <v>An toàn</v>
      </c>
    </row>
    <row r="43" spans="1:8" ht="15.75" customHeight="1" x14ac:dyDescent="0.3">
      <c r="A43" s="38">
        <v>0.9</v>
      </c>
      <c r="B43" s="22">
        <f t="shared" si="0"/>
        <v>3.6587536340881126E-2</v>
      </c>
      <c r="C43" s="26">
        <f t="shared" si="1"/>
        <v>0.75430062134162135</v>
      </c>
      <c r="D43" s="8" t="str">
        <f t="shared" si="2"/>
        <v>An toàn</v>
      </c>
    </row>
    <row r="44" spans="1:8" ht="15.75" customHeight="1" x14ac:dyDescent="0.3">
      <c r="A44" s="38">
        <v>0.95</v>
      </c>
      <c r="B44" s="22">
        <f t="shared" si="0"/>
        <v>3.4661876533466335E-2</v>
      </c>
      <c r="C44" s="26">
        <f t="shared" si="1"/>
        <v>0.76723216758679913</v>
      </c>
      <c r="D44" s="8" t="str">
        <f t="shared" si="2"/>
        <v>An toàn</v>
      </c>
    </row>
    <row r="45" spans="1:8" ht="15.75" customHeight="1" x14ac:dyDescent="0.3"/>
    <row r="46" spans="1:8" ht="15.75" customHeight="1" x14ac:dyDescent="0.3">
      <c r="A46" s="3" t="s">
        <v>205</v>
      </c>
    </row>
    <row r="47" spans="1:8" ht="15.75" customHeight="1" x14ac:dyDescent="0.3"/>
    <row r="48" spans="1:8" ht="15.75" customHeight="1" x14ac:dyDescent="0.3">
      <c r="A48" s="7" t="s">
        <v>206</v>
      </c>
      <c r="B48" s="10"/>
      <c r="C48" s="10"/>
      <c r="D48" s="10"/>
      <c r="E48" s="10"/>
      <c r="F48" s="10"/>
      <c r="G48" s="10"/>
      <c r="H48" s="10"/>
    </row>
    <row r="49" spans="1:2" ht="15.75" customHeight="1" x14ac:dyDescent="0.3">
      <c r="A49" s="12" t="s">
        <v>202</v>
      </c>
      <c r="B49" s="21">
        <f>B5</f>
        <v>4.7041118152561449E-2</v>
      </c>
    </row>
    <row r="50" spans="1:2" ht="15.75" customHeight="1" x14ac:dyDescent="0.3">
      <c r="A50" s="12" t="s">
        <v>207</v>
      </c>
      <c r="B50" s="21">
        <f>B7</f>
        <v>0.14112335445768434</v>
      </c>
    </row>
    <row r="51" spans="1:2" ht="15.75" customHeight="1" x14ac:dyDescent="0.3">
      <c r="A51" s="12" t="s">
        <v>208</v>
      </c>
      <c r="B51" s="21">
        <f>B19</f>
        <v>0.14891179839633448</v>
      </c>
    </row>
    <row r="52" spans="1:2" ht="15.75" customHeight="1" x14ac:dyDescent="0.3">
      <c r="A52" s="12" t="s">
        <v>203</v>
      </c>
      <c r="B52" s="29">
        <f>B21</f>
        <v>0.68410079886779884</v>
      </c>
    </row>
    <row r="53" spans="1:2" ht="15.75" customHeight="1" x14ac:dyDescent="0.3">
      <c r="A53" s="12" t="s">
        <v>209</v>
      </c>
      <c r="B53" s="29">
        <f>B33</f>
        <v>0.55282360198135194</v>
      </c>
    </row>
    <row r="54" spans="1:2" ht="15.75" customHeight="1" x14ac:dyDescent="0.3"/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4140625" defaultRowHeight="15" customHeight="1" x14ac:dyDescent="0.3"/>
  <cols>
    <col min="1" max="1" width="72" customWidth="1"/>
    <col min="2" max="2" width="12" customWidth="1"/>
    <col min="3" max="3" width="50" customWidth="1"/>
    <col min="4" max="4" width="46" customWidth="1"/>
    <col min="5" max="8" width="15" customWidth="1"/>
    <col min="9" max="26" width="8.6640625" customWidth="1"/>
  </cols>
  <sheetData>
    <row r="1" spans="1:8" ht="24" customHeight="1" x14ac:dyDescent="0.3">
      <c r="A1" s="1" t="s">
        <v>210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211</v>
      </c>
    </row>
    <row r="3" spans="1:8" ht="14.4" x14ac:dyDescent="0.3">
      <c r="E3" s="43" t="s">
        <v>212</v>
      </c>
    </row>
    <row r="4" spans="1:8" ht="14.4" x14ac:dyDescent="0.3">
      <c r="A4" s="7" t="s">
        <v>213</v>
      </c>
      <c r="B4" s="10"/>
      <c r="C4" s="10"/>
      <c r="D4" s="10"/>
      <c r="E4" s="10"/>
      <c r="F4" s="10"/>
      <c r="G4" s="10"/>
      <c r="H4" s="10"/>
    </row>
    <row r="5" spans="1:8" ht="14.4" x14ac:dyDescent="0.3">
      <c r="A5" s="6" t="s">
        <v>214</v>
      </c>
      <c r="B5" s="13">
        <v>1</v>
      </c>
      <c r="E5" s="44" t="s">
        <v>215</v>
      </c>
    </row>
    <row r="6" spans="1:8" ht="14.4" x14ac:dyDescent="0.3">
      <c r="A6" s="6" t="s">
        <v>216</v>
      </c>
      <c r="B6" s="13">
        <v>0</v>
      </c>
      <c r="E6" s="44" t="s">
        <v>217</v>
      </c>
    </row>
    <row r="7" spans="1:8" ht="14.4" x14ac:dyDescent="0.3">
      <c r="A7" s="6" t="s">
        <v>218</v>
      </c>
      <c r="B7" s="13">
        <v>1</v>
      </c>
      <c r="E7" s="44" t="s">
        <v>219</v>
      </c>
    </row>
    <row r="8" spans="1:8" ht="14.4" x14ac:dyDescent="0.3">
      <c r="A8" s="6" t="s">
        <v>220</v>
      </c>
      <c r="B8" s="13">
        <v>2</v>
      </c>
      <c r="E8" s="44" t="s">
        <v>221</v>
      </c>
    </row>
    <row r="9" spans="1:8" ht="14.4" x14ac:dyDescent="0.3">
      <c r="A9" s="6" t="s">
        <v>222</v>
      </c>
      <c r="B9" s="13">
        <v>2</v>
      </c>
      <c r="E9" s="44" t="s">
        <v>223</v>
      </c>
    </row>
    <row r="10" spans="1:8" ht="14.4" x14ac:dyDescent="0.3">
      <c r="A10" s="12" t="s">
        <v>224</v>
      </c>
      <c r="B10" s="16">
        <f>SUM(B5:B9)</f>
        <v>6</v>
      </c>
    </row>
    <row r="12" spans="1:8" ht="14.4" x14ac:dyDescent="0.3">
      <c r="A12" s="7" t="s">
        <v>225</v>
      </c>
      <c r="B12" s="10"/>
      <c r="C12" s="10"/>
      <c r="D12" s="10"/>
      <c r="E12" s="10"/>
      <c r="F12" s="10"/>
      <c r="G12" s="10"/>
      <c r="H12" s="10"/>
    </row>
    <row r="13" spans="1:8" ht="14.4" x14ac:dyDescent="0.3">
      <c r="A13" s="6" t="s">
        <v>226</v>
      </c>
      <c r="B13" s="13">
        <v>1</v>
      </c>
      <c r="E13" s="44" t="s">
        <v>227</v>
      </c>
    </row>
    <row r="14" spans="1:8" ht="14.4" x14ac:dyDescent="0.3">
      <c r="A14" s="6" t="s">
        <v>228</v>
      </c>
      <c r="B14" s="13">
        <v>2</v>
      </c>
      <c r="E14" s="44" t="s">
        <v>229</v>
      </c>
    </row>
    <row r="15" spans="1:8" ht="14.4" x14ac:dyDescent="0.3">
      <c r="A15" s="6" t="s">
        <v>230</v>
      </c>
      <c r="B15" s="13">
        <v>1</v>
      </c>
      <c r="E15" s="44" t="s">
        <v>231</v>
      </c>
    </row>
    <row r="16" spans="1:8" ht="14.4" x14ac:dyDescent="0.3">
      <c r="A16" s="6" t="s">
        <v>232</v>
      </c>
      <c r="B16" s="13">
        <v>0</v>
      </c>
      <c r="E16" s="44" t="s">
        <v>233</v>
      </c>
    </row>
    <row r="17" spans="1:8" ht="14.4" x14ac:dyDescent="0.3">
      <c r="A17" s="6" t="s">
        <v>234</v>
      </c>
      <c r="B17" s="13">
        <v>2</v>
      </c>
      <c r="E17" s="44" t="s">
        <v>235</v>
      </c>
    </row>
    <row r="18" spans="1:8" ht="14.4" x14ac:dyDescent="0.3">
      <c r="A18" s="12" t="s">
        <v>236</v>
      </c>
      <c r="B18" s="16">
        <f>SUM(B13:B17)</f>
        <v>6</v>
      </c>
    </row>
    <row r="20" spans="1:8" ht="14.4" x14ac:dyDescent="0.3">
      <c r="A20" s="7" t="s">
        <v>237</v>
      </c>
      <c r="B20" s="10"/>
      <c r="C20" s="10"/>
      <c r="D20" s="10"/>
      <c r="E20" s="10"/>
      <c r="F20" s="10"/>
      <c r="G20" s="10"/>
      <c r="H20" s="10"/>
    </row>
    <row r="21" spans="1:8" ht="15.75" customHeight="1" x14ac:dyDescent="0.3">
      <c r="A21" s="12" t="s">
        <v>238</v>
      </c>
      <c r="B21" s="24" t="str">
        <f>IF(AND(B10&gt;=7,B18&gt;=7),"OUTCOME",IF(AND(B10&gt;=7,B18&lt;7),"USAGE",IF(AND(B10&lt;7,B18&gt;=7),"USAGE (an toàn)","SEAT hoặc HYBRID")))</f>
        <v>SEAT hoặc HYBRID</v>
      </c>
    </row>
    <row r="22" spans="1:8" ht="15.75" customHeight="1" x14ac:dyDescent="0.3">
      <c r="A22" s="3" t="s">
        <v>239</v>
      </c>
    </row>
    <row r="23" spans="1:8" ht="15.75" customHeight="1" x14ac:dyDescent="0.3"/>
    <row r="24" spans="1:8" ht="15.75" customHeight="1" x14ac:dyDescent="0.3">
      <c r="A24" s="7" t="s">
        <v>240</v>
      </c>
      <c r="B24" s="10"/>
      <c r="C24" s="10"/>
      <c r="D24" s="10"/>
      <c r="E24" s="10"/>
      <c r="F24" s="10"/>
      <c r="G24" s="10"/>
      <c r="H24" s="10"/>
    </row>
    <row r="25" spans="1:8" ht="15.75" customHeight="1" x14ac:dyDescent="0.3">
      <c r="A25" s="25" t="s">
        <v>241</v>
      </c>
      <c r="B25" s="25" t="s">
        <v>242</v>
      </c>
      <c r="C25" s="25" t="s">
        <v>243</v>
      </c>
      <c r="D25" s="25" t="s">
        <v>244</v>
      </c>
    </row>
    <row r="26" spans="1:8" ht="45" customHeight="1" x14ac:dyDescent="0.3">
      <c r="A26" s="45" t="s">
        <v>245</v>
      </c>
      <c r="B26" s="45" t="s">
        <v>246</v>
      </c>
      <c r="C26" s="45" t="s">
        <v>247</v>
      </c>
      <c r="D26" s="45" t="s">
        <v>248</v>
      </c>
    </row>
    <row r="27" spans="1:8" ht="45" customHeight="1" x14ac:dyDescent="0.3">
      <c r="A27" s="45" t="s">
        <v>249</v>
      </c>
      <c r="B27" s="45" t="s">
        <v>250</v>
      </c>
      <c r="C27" s="45" t="s">
        <v>251</v>
      </c>
      <c r="D27" s="45" t="s">
        <v>252</v>
      </c>
    </row>
    <row r="28" spans="1:8" ht="45" customHeight="1" x14ac:dyDescent="0.3">
      <c r="A28" s="46" t="s">
        <v>253</v>
      </c>
      <c r="B28" s="46" t="s">
        <v>254</v>
      </c>
      <c r="C28" s="46" t="s">
        <v>255</v>
      </c>
      <c r="D28" s="46" t="s">
        <v>256</v>
      </c>
    </row>
    <row r="29" spans="1:8" ht="15.75" customHeight="1" x14ac:dyDescent="0.3">
      <c r="A29" s="7" t="s">
        <v>257</v>
      </c>
      <c r="B29" s="10"/>
      <c r="C29" s="10"/>
      <c r="D29" s="10"/>
      <c r="E29" s="10"/>
      <c r="F29" s="10"/>
      <c r="G29" s="10"/>
      <c r="H29" s="10"/>
    </row>
    <row r="30" spans="1:8" ht="75" customHeight="1" x14ac:dyDescent="0.3">
      <c r="A30" s="6" t="s">
        <v>258</v>
      </c>
      <c r="B30" s="39" t="s">
        <v>259</v>
      </c>
    </row>
    <row r="31" spans="1:8" ht="75" customHeight="1" x14ac:dyDescent="0.3">
      <c r="A31" s="6" t="s">
        <v>260</v>
      </c>
      <c r="B31" s="39" t="s">
        <v>261</v>
      </c>
    </row>
    <row r="32" spans="1:8" ht="75" customHeight="1" x14ac:dyDescent="0.3">
      <c r="A32" s="6" t="s">
        <v>262</v>
      </c>
      <c r="B32" s="39" t="s">
        <v>263</v>
      </c>
    </row>
    <row r="33" spans="1:2" ht="75" customHeight="1" x14ac:dyDescent="0.3">
      <c r="A33" s="6" t="s">
        <v>264</v>
      </c>
      <c r="B33" s="39" t="s">
        <v>265</v>
      </c>
    </row>
    <row r="34" spans="1:2" ht="75" customHeight="1" x14ac:dyDescent="0.3">
      <c r="A34" s="6" t="s">
        <v>266</v>
      </c>
      <c r="B34" s="39" t="s">
        <v>267</v>
      </c>
    </row>
    <row r="35" spans="1:2" ht="15.75" customHeight="1" x14ac:dyDescent="0.3"/>
    <row r="36" spans="1:2" ht="15.75" customHeight="1" x14ac:dyDescent="0.3"/>
    <row r="37" spans="1:2" ht="15.75" customHeight="1" x14ac:dyDescent="0.3"/>
    <row r="38" spans="1:2" ht="15.75" customHeight="1" x14ac:dyDescent="0.3"/>
    <row r="39" spans="1:2" ht="15.75" customHeight="1" x14ac:dyDescent="0.3"/>
    <row r="40" spans="1:2" ht="15.75" customHeight="1" x14ac:dyDescent="0.3"/>
    <row r="41" spans="1:2" ht="15.75" customHeight="1" x14ac:dyDescent="0.3"/>
    <row r="42" spans="1:2" ht="15.75" customHeight="1" x14ac:dyDescent="0.3"/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4140625" defaultRowHeight="15" customHeight="1" x14ac:dyDescent="0.3"/>
  <cols>
    <col min="1" max="1" width="46" customWidth="1"/>
    <col min="2" max="3" width="16" customWidth="1"/>
    <col min="4" max="4" width="54" customWidth="1"/>
    <col min="5" max="8" width="15" customWidth="1"/>
    <col min="9" max="26" width="8.6640625" customWidth="1"/>
  </cols>
  <sheetData>
    <row r="1" spans="1:8" ht="24" customHeight="1" x14ac:dyDescent="0.3">
      <c r="A1" s="1" t="s">
        <v>268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269</v>
      </c>
    </row>
    <row r="3" spans="1:8" ht="14.4" x14ac:dyDescent="0.3">
      <c r="E3" s="43" t="s">
        <v>158</v>
      </c>
    </row>
    <row r="4" spans="1:8" ht="14.4" x14ac:dyDescent="0.3">
      <c r="A4" s="7" t="s">
        <v>270</v>
      </c>
      <c r="B4" s="10"/>
      <c r="C4" s="10"/>
      <c r="D4" s="10"/>
      <c r="E4" s="10"/>
      <c r="F4" s="10"/>
      <c r="G4" s="10"/>
      <c r="H4" s="10"/>
    </row>
    <row r="5" spans="1:8" ht="14.4" x14ac:dyDescent="0.3">
      <c r="A5" s="6" t="s">
        <v>271</v>
      </c>
      <c r="B5" s="23">
        <f>'1_Cost_Job'!B11*'2_Pricing'!B19</f>
        <v>156.3573883161512</v>
      </c>
      <c r="E5" s="44" t="s">
        <v>272</v>
      </c>
    </row>
    <row r="6" spans="1:8" ht="14.4" x14ac:dyDescent="0.3">
      <c r="A6" s="6" t="s">
        <v>273</v>
      </c>
      <c r="B6" s="32">
        <f>'2_Pricing'!B21</f>
        <v>0.68410079886779884</v>
      </c>
    </row>
    <row r="7" spans="1:8" ht="14.4" x14ac:dyDescent="0.3">
      <c r="A7" s="6" t="s">
        <v>274</v>
      </c>
      <c r="B7" s="13" t="s">
        <v>275</v>
      </c>
      <c r="E7" s="44" t="s">
        <v>276</v>
      </c>
    </row>
    <row r="8" spans="1:8" ht="14.4" x14ac:dyDescent="0.3">
      <c r="A8" s="6" t="s">
        <v>277</v>
      </c>
      <c r="B8" s="17">
        <f>IF(B7="SMB",12,IF(B7="Mid",18,24))</f>
        <v>12</v>
      </c>
      <c r="C8" s="3" t="s">
        <v>278</v>
      </c>
      <c r="D8" s="3" t="s">
        <v>279</v>
      </c>
    </row>
    <row r="9" spans="1:8" ht="14.4" x14ac:dyDescent="0.3">
      <c r="A9" s="12" t="s">
        <v>280</v>
      </c>
      <c r="B9" s="33">
        <f>B5*B6*B8</f>
        <v>1283.5705710715401</v>
      </c>
      <c r="D9" s="3" t="s">
        <v>281</v>
      </c>
    </row>
    <row r="10" spans="1:8" ht="14.4" x14ac:dyDescent="0.3">
      <c r="A10" s="6" t="s">
        <v>282</v>
      </c>
      <c r="B10" s="35">
        <f>B5*12</f>
        <v>1876.2886597938145</v>
      </c>
    </row>
    <row r="12" spans="1:8" ht="14.4" x14ac:dyDescent="0.3">
      <c r="A12" s="7" t="s">
        <v>283</v>
      </c>
      <c r="B12" s="10"/>
      <c r="C12" s="10"/>
      <c r="D12" s="10"/>
      <c r="E12" s="10"/>
      <c r="F12" s="10"/>
      <c r="G12" s="10"/>
      <c r="H12" s="10"/>
    </row>
    <row r="13" spans="1:8" ht="14.4" x14ac:dyDescent="0.3">
      <c r="A13" s="6" t="s">
        <v>284</v>
      </c>
      <c r="B13" s="23">
        <v>120000</v>
      </c>
      <c r="D13" s="3" t="s">
        <v>285</v>
      </c>
      <c r="E13" s="44" t="s">
        <v>286</v>
      </c>
    </row>
    <row r="14" spans="1:8" ht="14.4" x14ac:dyDescent="0.3">
      <c r="A14" s="6" t="s">
        <v>287</v>
      </c>
      <c r="B14" s="14">
        <v>250</v>
      </c>
      <c r="C14" s="3" t="s">
        <v>288</v>
      </c>
      <c r="E14" s="44" t="s">
        <v>289</v>
      </c>
    </row>
    <row r="15" spans="1:8" ht="14.4" x14ac:dyDescent="0.3">
      <c r="A15" s="6" t="s">
        <v>290</v>
      </c>
      <c r="B15" s="17">
        <f>IF(B10=0,0,B13/B10)</f>
        <v>63.956043956043956</v>
      </c>
    </row>
    <row r="16" spans="1:8" ht="14.4" x14ac:dyDescent="0.3">
      <c r="A16" s="12" t="s">
        <v>291</v>
      </c>
      <c r="B16" s="36">
        <f>IF(B14=0,0,B15/B14)</f>
        <v>0.25582417582417583</v>
      </c>
      <c r="C16" s="3" t="s">
        <v>292</v>
      </c>
    </row>
    <row r="17" spans="1:8" ht="14.4" x14ac:dyDescent="0.3">
      <c r="A17" s="6" t="s">
        <v>293</v>
      </c>
      <c r="B17" s="8" t="str">
        <f>IF(B16&lt;=1,"KHẢ THI về mặt số học","BẤT KHẢ THI — ACV quá thấp để nuôi sales rep")</f>
        <v>KHẢ THI về mặt số học</v>
      </c>
    </row>
    <row r="19" spans="1:8" ht="14.4" x14ac:dyDescent="0.3">
      <c r="A19" s="7" t="s">
        <v>294</v>
      </c>
      <c r="B19" s="10"/>
      <c r="C19" s="10"/>
      <c r="D19" s="10"/>
      <c r="E19" s="10"/>
      <c r="F19" s="10"/>
      <c r="G19" s="10"/>
      <c r="H19" s="10"/>
    </row>
    <row r="20" spans="1:8" ht="14.4" x14ac:dyDescent="0.3">
      <c r="A20" s="6" t="s">
        <v>295</v>
      </c>
      <c r="B20" s="23">
        <v>6300</v>
      </c>
      <c r="D20" s="3" t="s">
        <v>296</v>
      </c>
      <c r="E20" s="44" t="s">
        <v>297</v>
      </c>
    </row>
    <row r="21" spans="1:8" ht="15.75" customHeight="1" x14ac:dyDescent="0.3">
      <c r="A21" s="6" t="s">
        <v>298</v>
      </c>
      <c r="B21" s="15">
        <v>0.25</v>
      </c>
      <c r="E21" s="44" t="s">
        <v>299</v>
      </c>
    </row>
    <row r="22" spans="1:8" ht="15.75" customHeight="1" x14ac:dyDescent="0.3">
      <c r="A22" s="6" t="s">
        <v>300</v>
      </c>
      <c r="B22" s="35">
        <f>IF(B21=0,0,B20/B21)</f>
        <v>25200</v>
      </c>
    </row>
    <row r="23" spans="1:8" ht="15.75" customHeight="1" x14ac:dyDescent="0.3">
      <c r="A23" s="12" t="s">
        <v>301</v>
      </c>
      <c r="B23" s="37">
        <f>IF(B9=0,0,B22/B9)</f>
        <v>19.632734317804385</v>
      </c>
      <c r="D23" s="3" t="s">
        <v>302</v>
      </c>
    </row>
    <row r="24" spans="1:8" ht="15.75" customHeight="1" x14ac:dyDescent="0.3">
      <c r="A24" s="6" t="s">
        <v>199</v>
      </c>
      <c r="B24" s="8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5" spans="1:8" ht="15.75" customHeight="1" x14ac:dyDescent="0.3"/>
    <row r="26" spans="1:8" ht="15.75" customHeight="1" x14ac:dyDescent="0.3">
      <c r="A26" s="7" t="s">
        <v>303</v>
      </c>
      <c r="B26" s="10"/>
      <c r="C26" s="10"/>
      <c r="D26" s="10"/>
      <c r="E26" s="10"/>
      <c r="F26" s="10"/>
      <c r="G26" s="10"/>
      <c r="H26" s="10"/>
    </row>
    <row r="27" spans="1:8" ht="15.75" customHeight="1" x14ac:dyDescent="0.3">
      <c r="A27" s="25" t="s">
        <v>304</v>
      </c>
      <c r="B27" s="25" t="s">
        <v>305</v>
      </c>
      <c r="C27" s="25" t="s">
        <v>306</v>
      </c>
      <c r="D27" s="25" t="s">
        <v>307</v>
      </c>
    </row>
    <row r="28" spans="1:8" ht="15.75" customHeight="1" x14ac:dyDescent="0.3">
      <c r="A28" s="6" t="s">
        <v>308</v>
      </c>
      <c r="B28" s="13">
        <v>4</v>
      </c>
      <c r="C28" s="13">
        <v>2</v>
      </c>
      <c r="D28" s="13">
        <v>4</v>
      </c>
      <c r="E28" s="44" t="s">
        <v>309</v>
      </c>
    </row>
    <row r="29" spans="1:8" ht="15.75" customHeight="1" x14ac:dyDescent="0.3">
      <c r="A29" s="6" t="s">
        <v>310</v>
      </c>
      <c r="B29" s="13">
        <v>2</v>
      </c>
      <c r="C29" s="13">
        <v>4</v>
      </c>
      <c r="D29" s="13">
        <v>4</v>
      </c>
      <c r="E29" s="44" t="s">
        <v>311</v>
      </c>
    </row>
    <row r="30" spans="1:8" ht="15.75" customHeight="1" x14ac:dyDescent="0.3">
      <c r="A30" s="6" t="s">
        <v>312</v>
      </c>
      <c r="B30" s="13">
        <v>3</v>
      </c>
      <c r="C30" s="13">
        <v>2</v>
      </c>
      <c r="D30" s="13">
        <v>3</v>
      </c>
      <c r="E30" s="44" t="s">
        <v>313</v>
      </c>
    </row>
    <row r="31" spans="1:8" ht="15.75" customHeight="1" x14ac:dyDescent="0.3">
      <c r="A31" s="6" t="s">
        <v>314</v>
      </c>
      <c r="B31" s="13">
        <v>4</v>
      </c>
      <c r="C31" s="13">
        <v>3</v>
      </c>
      <c r="D31" s="13">
        <v>3</v>
      </c>
      <c r="E31" s="44" t="s">
        <v>315</v>
      </c>
    </row>
    <row r="32" spans="1:8" ht="15.75" customHeight="1" x14ac:dyDescent="0.3">
      <c r="A32" s="6" t="s">
        <v>316</v>
      </c>
      <c r="B32" s="13">
        <v>3</v>
      </c>
      <c r="C32" s="13">
        <v>2</v>
      </c>
      <c r="D32" s="13">
        <v>5</v>
      </c>
      <c r="E32" s="44" t="s">
        <v>317</v>
      </c>
    </row>
    <row r="33" spans="1:8" ht="15.75" customHeight="1" x14ac:dyDescent="0.3">
      <c r="A33" s="6" t="s">
        <v>318</v>
      </c>
      <c r="B33" s="13">
        <v>4</v>
      </c>
      <c r="C33" s="13">
        <v>4</v>
      </c>
      <c r="D33" s="13">
        <v>3</v>
      </c>
      <c r="E33" s="44" t="s">
        <v>319</v>
      </c>
    </row>
    <row r="34" spans="1:8" ht="15.75" customHeight="1" x14ac:dyDescent="0.3">
      <c r="A34" s="12" t="s">
        <v>320</v>
      </c>
      <c r="B34" s="24">
        <f>SUM(B28:B33)</f>
        <v>20</v>
      </c>
      <c r="C34" s="24">
        <f>SUM(C28:C33)</f>
        <v>17</v>
      </c>
      <c r="D34" s="24">
        <f>SUM(D28:D33)</f>
        <v>22</v>
      </c>
    </row>
    <row r="35" spans="1:8" ht="15.75" customHeight="1" x14ac:dyDescent="0.3">
      <c r="A35" s="12" t="s">
        <v>321</v>
      </c>
      <c r="B35" s="24" t="str">
        <f>IF(AND(B34&gt;=C34,B34&gt;=D34),"PLG",IF(C34&gt;=D34,"Sales-Led","Partner-Led"))</f>
        <v>Partner-Led</v>
      </c>
    </row>
    <row r="36" spans="1:8" ht="15.75" customHeight="1" x14ac:dyDescent="0.3"/>
    <row r="37" spans="1:8" ht="15.75" customHeight="1" x14ac:dyDescent="0.3">
      <c r="A37" s="7" t="s">
        <v>322</v>
      </c>
      <c r="B37" s="10"/>
      <c r="C37" s="10"/>
      <c r="D37" s="10"/>
      <c r="E37" s="10"/>
      <c r="F37" s="10"/>
      <c r="G37" s="10"/>
      <c r="H37" s="10"/>
    </row>
    <row r="38" spans="1:8" ht="15.75" customHeight="1" x14ac:dyDescent="0.3">
      <c r="A38" s="6" t="s">
        <v>323</v>
      </c>
      <c r="B38" s="5" t="s">
        <v>307</v>
      </c>
      <c r="D38" s="3" t="s">
        <v>324</v>
      </c>
      <c r="E38" s="44" t="s">
        <v>325</v>
      </c>
    </row>
    <row r="39" spans="1:8" ht="70.05" customHeight="1" x14ac:dyDescent="0.3">
      <c r="A39" s="6" t="s">
        <v>326</v>
      </c>
      <c r="B39" s="39" t="s">
        <v>327</v>
      </c>
      <c r="D39" s="3" t="s">
        <v>328</v>
      </c>
    </row>
    <row r="40" spans="1:8" ht="15.75" customHeight="1" x14ac:dyDescent="0.3">
      <c r="A40" s="6" t="s">
        <v>329</v>
      </c>
      <c r="B40" s="5" t="s">
        <v>330</v>
      </c>
      <c r="E40" s="44" t="s">
        <v>331</v>
      </c>
    </row>
    <row r="41" spans="1:8" ht="70.05" customHeight="1" x14ac:dyDescent="0.3">
      <c r="A41" s="6" t="s">
        <v>332</v>
      </c>
      <c r="B41" s="39" t="s">
        <v>333</v>
      </c>
    </row>
    <row r="42" spans="1:8" ht="70.05" customHeight="1" x14ac:dyDescent="0.3">
      <c r="A42" s="6" t="s">
        <v>334</v>
      </c>
      <c r="B42" s="39" t="s">
        <v>335</v>
      </c>
      <c r="D42" s="3" t="s">
        <v>336</v>
      </c>
    </row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qref="B7" xr:uid="{00000000-0002-0000-0400-000000000000}">
      <formula1>"SMB,Mid,Enterprise"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4140625" defaultRowHeight="15" customHeight="1" x14ac:dyDescent="0.3"/>
  <cols>
    <col min="1" max="1" width="30" customWidth="1"/>
    <col min="2" max="2" width="34" customWidth="1"/>
    <col min="3" max="4" width="40" customWidth="1"/>
    <col min="5" max="8" width="15" customWidth="1"/>
    <col min="9" max="26" width="8.6640625" customWidth="1"/>
  </cols>
  <sheetData>
    <row r="1" spans="1:8" ht="24" customHeight="1" x14ac:dyDescent="0.3">
      <c r="A1" s="1" t="s">
        <v>337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338</v>
      </c>
    </row>
    <row r="4" spans="1:8" ht="14.4" x14ac:dyDescent="0.3">
      <c r="A4" s="7" t="s">
        <v>339</v>
      </c>
      <c r="B4" s="10"/>
      <c r="C4" s="10"/>
      <c r="D4" s="10"/>
      <c r="E4" s="10"/>
      <c r="F4" s="10"/>
      <c r="G4" s="10"/>
      <c r="H4" s="10"/>
    </row>
    <row r="5" spans="1:8" ht="60" customHeight="1" x14ac:dyDescent="0.3">
      <c r="A5" s="6" t="s">
        <v>340</v>
      </c>
      <c r="B5" s="39" t="s">
        <v>341</v>
      </c>
    </row>
    <row r="6" spans="1:8" ht="60" customHeight="1" x14ac:dyDescent="0.3">
      <c r="A6" s="6" t="s">
        <v>342</v>
      </c>
      <c r="B6" s="39" t="s">
        <v>343</v>
      </c>
    </row>
    <row r="7" spans="1:8" ht="60" customHeight="1" x14ac:dyDescent="0.3">
      <c r="A7" s="6" t="s">
        <v>344</v>
      </c>
      <c r="B7" s="39" t="s">
        <v>345</v>
      </c>
    </row>
    <row r="8" spans="1:8" ht="60" customHeight="1" x14ac:dyDescent="0.3">
      <c r="A8" s="6" t="s">
        <v>346</v>
      </c>
      <c r="B8" s="39" t="s">
        <v>347</v>
      </c>
      <c r="D8" s="3" t="s">
        <v>348</v>
      </c>
    </row>
    <row r="10" spans="1:8" ht="14.4" x14ac:dyDescent="0.3">
      <c r="A10" s="7" t="s">
        <v>349</v>
      </c>
      <c r="B10" s="10"/>
      <c r="C10" s="10"/>
      <c r="D10" s="10"/>
      <c r="E10" s="10"/>
      <c r="F10" s="10"/>
      <c r="G10" s="10"/>
      <c r="H10" s="10"/>
    </row>
    <row r="11" spans="1:8" ht="14.4" x14ac:dyDescent="0.3">
      <c r="A11" s="25"/>
      <c r="B11" s="25" t="s">
        <v>350</v>
      </c>
      <c r="C11" s="25" t="s">
        <v>351</v>
      </c>
      <c r="D11" s="25" t="s">
        <v>352</v>
      </c>
    </row>
    <row r="12" spans="1:8" ht="75" customHeight="1" x14ac:dyDescent="0.3">
      <c r="A12" s="6" t="s">
        <v>353</v>
      </c>
      <c r="B12" s="39" t="s">
        <v>354</v>
      </c>
      <c r="C12" s="39" t="s">
        <v>355</v>
      </c>
      <c r="D12" s="39" t="s">
        <v>356</v>
      </c>
    </row>
    <row r="13" spans="1:8" ht="75" customHeight="1" x14ac:dyDescent="0.3">
      <c r="A13" s="6" t="s">
        <v>357</v>
      </c>
      <c r="B13" s="39" t="s">
        <v>358</v>
      </c>
      <c r="C13" s="39" t="s">
        <v>359</v>
      </c>
      <c r="D13" s="39" t="s">
        <v>360</v>
      </c>
    </row>
    <row r="14" spans="1:8" ht="75" customHeight="1" x14ac:dyDescent="0.3">
      <c r="A14" s="6" t="s">
        <v>361</v>
      </c>
      <c r="B14" s="39" t="s">
        <v>362</v>
      </c>
      <c r="C14" s="39" t="s">
        <v>363</v>
      </c>
      <c r="D14" s="39" t="s">
        <v>364</v>
      </c>
    </row>
    <row r="15" spans="1:8" ht="75" customHeight="1" x14ac:dyDescent="0.3">
      <c r="A15" s="6" t="s">
        <v>365</v>
      </c>
      <c r="B15" s="39" t="s">
        <v>366</v>
      </c>
      <c r="C15" s="39" t="s">
        <v>367</v>
      </c>
      <c r="D15" s="39" t="s">
        <v>368</v>
      </c>
    </row>
    <row r="16" spans="1:8" ht="75" customHeight="1" x14ac:dyDescent="0.3">
      <c r="A16" s="6" t="s">
        <v>369</v>
      </c>
      <c r="B16" s="39" t="s">
        <v>370</v>
      </c>
      <c r="C16" s="39" t="s">
        <v>371</v>
      </c>
      <c r="D16" s="39" t="s">
        <v>372</v>
      </c>
    </row>
    <row r="17" spans="1:8" ht="75" customHeight="1" x14ac:dyDescent="0.3">
      <c r="A17" s="6" t="s">
        <v>373</v>
      </c>
      <c r="B17" s="39" t="s">
        <v>374</v>
      </c>
      <c r="C17" s="39" t="s">
        <v>375</v>
      </c>
      <c r="D17" s="39" t="s">
        <v>376</v>
      </c>
    </row>
    <row r="18" spans="1:8" ht="75" customHeight="1" x14ac:dyDescent="0.3">
      <c r="A18" s="6" t="s">
        <v>377</v>
      </c>
      <c r="B18" s="39" t="s">
        <v>378</v>
      </c>
      <c r="C18" s="39" t="s">
        <v>379</v>
      </c>
      <c r="D18" s="39" t="s">
        <v>380</v>
      </c>
    </row>
    <row r="19" spans="1:8" ht="14.4" x14ac:dyDescent="0.3">
      <c r="A19" s="3" t="s">
        <v>381</v>
      </c>
    </row>
    <row r="21" spans="1:8" ht="15.75" customHeight="1" x14ac:dyDescent="0.3">
      <c r="A21" s="7" t="s">
        <v>382</v>
      </c>
      <c r="B21" s="10"/>
      <c r="C21" s="10"/>
      <c r="D21" s="10"/>
      <c r="E21" s="10"/>
      <c r="F21" s="10"/>
      <c r="G21" s="10"/>
      <c r="H21" s="10"/>
    </row>
    <row r="22" spans="1:8" ht="15.75" customHeight="1" x14ac:dyDescent="0.3">
      <c r="A22" s="25" t="s">
        <v>383</v>
      </c>
      <c r="B22" s="25" t="s">
        <v>384</v>
      </c>
      <c r="C22" s="25" t="s">
        <v>385</v>
      </c>
      <c r="D22" s="25" t="s">
        <v>386</v>
      </c>
    </row>
    <row r="23" spans="1:8" ht="120" customHeight="1" x14ac:dyDescent="0.3">
      <c r="A23" s="6" t="s">
        <v>387</v>
      </c>
      <c r="B23" s="39" t="s">
        <v>330</v>
      </c>
      <c r="C23" s="39" t="s">
        <v>388</v>
      </c>
      <c r="D23" s="39" t="s">
        <v>389</v>
      </c>
    </row>
    <row r="24" spans="1:8" ht="120" customHeight="1" x14ac:dyDescent="0.3">
      <c r="A24" s="6" t="s">
        <v>390</v>
      </c>
      <c r="B24" s="39" t="s">
        <v>391</v>
      </c>
      <c r="C24" s="39" t="s">
        <v>392</v>
      </c>
      <c r="D24" s="39" t="s">
        <v>393</v>
      </c>
    </row>
    <row r="25" spans="1:8" ht="120" customHeight="1" x14ac:dyDescent="0.3">
      <c r="A25" s="6" t="s">
        <v>394</v>
      </c>
      <c r="B25" s="39" t="s">
        <v>330</v>
      </c>
      <c r="C25" s="39" t="s">
        <v>395</v>
      </c>
      <c r="D25" s="39" t="s">
        <v>396</v>
      </c>
    </row>
    <row r="26" spans="1:8" ht="15.75" customHeight="1" x14ac:dyDescent="0.3">
      <c r="A26" s="3" t="s">
        <v>397</v>
      </c>
    </row>
    <row r="27" spans="1:8" ht="15.75" customHeight="1" x14ac:dyDescent="0.3"/>
    <row r="28" spans="1:8" ht="15.75" customHeight="1" x14ac:dyDescent="0.3">
      <c r="A28" s="7" t="s">
        <v>398</v>
      </c>
      <c r="B28" s="10"/>
      <c r="C28" s="10"/>
      <c r="D28" s="10"/>
      <c r="E28" s="10"/>
      <c r="F28" s="10"/>
      <c r="G28" s="10"/>
      <c r="H28" s="10"/>
    </row>
    <row r="29" spans="1:8" ht="15.75" customHeight="1" x14ac:dyDescent="0.3">
      <c r="A29" s="6" t="s">
        <v>399</v>
      </c>
      <c r="B29" s="5" t="s">
        <v>400</v>
      </c>
      <c r="E29" s="44" t="s">
        <v>401</v>
      </c>
    </row>
    <row r="30" spans="1:8" ht="15.75" customHeight="1" x14ac:dyDescent="0.3">
      <c r="A30" s="6" t="s">
        <v>402</v>
      </c>
      <c r="B30" s="5" t="s">
        <v>400</v>
      </c>
      <c r="E30" s="44" t="s">
        <v>403</v>
      </c>
    </row>
    <row r="31" spans="1:8" ht="15.75" customHeight="1" x14ac:dyDescent="0.3">
      <c r="A31" s="6" t="s">
        <v>404</v>
      </c>
      <c r="B31" s="5" t="s">
        <v>400</v>
      </c>
      <c r="E31" s="44" t="s">
        <v>405</v>
      </c>
    </row>
    <row r="32" spans="1:8" ht="15.75" customHeight="1" x14ac:dyDescent="0.3">
      <c r="A32" s="6" t="s">
        <v>406</v>
      </c>
      <c r="B32" s="5">
        <v>1</v>
      </c>
      <c r="E32" s="44" t="s">
        <v>407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defaultColWidth="14.44140625" defaultRowHeight="15" customHeight="1" x14ac:dyDescent="0.3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70" customWidth="1"/>
    <col min="9" max="26" width="8.6640625" customWidth="1"/>
  </cols>
  <sheetData>
    <row r="1" spans="1:8" ht="24" customHeight="1" x14ac:dyDescent="0.3">
      <c r="A1" s="1" t="s">
        <v>408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409</v>
      </c>
    </row>
    <row r="3" spans="1:8" ht="14.4" x14ac:dyDescent="0.3">
      <c r="A3" s="6" t="s">
        <v>410</v>
      </c>
      <c r="B3" s="47" t="s">
        <v>411</v>
      </c>
      <c r="D3" s="3" t="s">
        <v>412</v>
      </c>
    </row>
    <row r="5" spans="1:8" ht="17.399999999999999" x14ac:dyDescent="0.3">
      <c r="A5" s="40" t="s">
        <v>413</v>
      </c>
      <c r="B5" s="40" t="s">
        <v>414</v>
      </c>
      <c r="C5" s="40" t="s">
        <v>415</v>
      </c>
      <c r="D5" s="40" t="s">
        <v>416</v>
      </c>
      <c r="E5" s="40" t="s">
        <v>417</v>
      </c>
      <c r="F5" s="48" t="s">
        <v>418</v>
      </c>
    </row>
    <row r="6" spans="1:8" ht="14.4" x14ac:dyDescent="0.3">
      <c r="A6" s="41" t="s">
        <v>149</v>
      </c>
      <c r="B6" s="41" t="s">
        <v>419</v>
      </c>
      <c r="C6" s="41" t="s">
        <v>420</v>
      </c>
      <c r="D6" s="41" t="s">
        <v>421</v>
      </c>
      <c r="E6" s="42" t="s">
        <v>422</v>
      </c>
      <c r="F6" s="3" t="s">
        <v>423</v>
      </c>
    </row>
    <row r="7" spans="1:8" ht="14.4" x14ac:dyDescent="0.3">
      <c r="A7" s="41" t="s">
        <v>149</v>
      </c>
      <c r="B7" s="41" t="s">
        <v>424</v>
      </c>
      <c r="C7" s="41" t="s">
        <v>425</v>
      </c>
      <c r="D7" s="41" t="s">
        <v>421</v>
      </c>
      <c r="E7" s="42" t="s">
        <v>422</v>
      </c>
      <c r="F7" s="3" t="s">
        <v>426</v>
      </c>
    </row>
    <row r="8" spans="1:8" ht="14.4" x14ac:dyDescent="0.3">
      <c r="A8" s="41" t="s">
        <v>149</v>
      </c>
      <c r="B8" s="41" t="s">
        <v>427</v>
      </c>
      <c r="C8" s="41" t="s">
        <v>428</v>
      </c>
      <c r="D8" s="41" t="s">
        <v>421</v>
      </c>
      <c r="E8" s="42" t="s">
        <v>422</v>
      </c>
      <c r="F8" s="3" t="s">
        <v>429</v>
      </c>
    </row>
    <row r="9" spans="1:8" ht="14.4" x14ac:dyDescent="0.3">
      <c r="A9" s="41" t="s">
        <v>149</v>
      </c>
      <c r="B9" s="41" t="s">
        <v>430</v>
      </c>
      <c r="C9" s="41" t="s">
        <v>431</v>
      </c>
      <c r="D9" s="41" t="s">
        <v>432</v>
      </c>
      <c r="E9" s="42" t="s">
        <v>422</v>
      </c>
      <c r="F9" s="3" t="s">
        <v>433</v>
      </c>
    </row>
    <row r="10" spans="1:8" ht="22.8" x14ac:dyDescent="0.3">
      <c r="A10" s="41" t="s">
        <v>149</v>
      </c>
      <c r="B10" s="41" t="s">
        <v>434</v>
      </c>
      <c r="C10" s="41" t="s">
        <v>435</v>
      </c>
      <c r="D10" s="41" t="s">
        <v>421</v>
      </c>
      <c r="E10" s="42" t="s">
        <v>436</v>
      </c>
      <c r="F10" s="3" t="s">
        <v>437</v>
      </c>
    </row>
    <row r="11" spans="1:8" ht="14.4" x14ac:dyDescent="0.3">
      <c r="A11" s="41" t="s">
        <v>149</v>
      </c>
      <c r="B11" s="41" t="s">
        <v>438</v>
      </c>
      <c r="C11" s="41" t="s">
        <v>439</v>
      </c>
      <c r="D11" s="41" t="s">
        <v>421</v>
      </c>
      <c r="E11" s="42" t="s">
        <v>440</v>
      </c>
      <c r="F11" s="3" t="s">
        <v>441</v>
      </c>
    </row>
    <row r="12" spans="1:8" ht="14.4" x14ac:dyDescent="0.3">
      <c r="A12" s="41" t="s">
        <v>149</v>
      </c>
      <c r="B12" s="41" t="s">
        <v>442</v>
      </c>
      <c r="C12" s="41" t="s">
        <v>443</v>
      </c>
      <c r="D12" s="41" t="s">
        <v>432</v>
      </c>
      <c r="E12" s="42" t="s">
        <v>440</v>
      </c>
      <c r="F12" s="3" t="s">
        <v>441</v>
      </c>
    </row>
    <row r="13" spans="1:8" ht="14.4" x14ac:dyDescent="0.3">
      <c r="A13" s="41" t="s">
        <v>149</v>
      </c>
      <c r="B13" s="41" t="s">
        <v>444</v>
      </c>
      <c r="C13" s="41" t="s">
        <v>445</v>
      </c>
      <c r="D13" s="41" t="s">
        <v>421</v>
      </c>
      <c r="E13" s="42" t="s">
        <v>446</v>
      </c>
      <c r="F13" s="3" t="s">
        <v>441</v>
      </c>
    </row>
    <row r="14" spans="1:8" ht="22.8" x14ac:dyDescent="0.3">
      <c r="A14" s="41" t="s">
        <v>149</v>
      </c>
      <c r="B14" s="41" t="s">
        <v>447</v>
      </c>
      <c r="C14" s="41" t="s">
        <v>448</v>
      </c>
      <c r="D14" s="41" t="s">
        <v>421</v>
      </c>
      <c r="E14" s="42" t="s">
        <v>449</v>
      </c>
      <c r="F14" s="3" t="s">
        <v>450</v>
      </c>
    </row>
    <row r="15" spans="1:8" ht="14.4" x14ac:dyDescent="0.3">
      <c r="A15" s="41" t="s">
        <v>451</v>
      </c>
      <c r="B15" s="41" t="s">
        <v>452</v>
      </c>
      <c r="C15" s="41" t="s">
        <v>453</v>
      </c>
      <c r="D15" s="41" t="s">
        <v>454</v>
      </c>
      <c r="E15" s="42" t="s">
        <v>455</v>
      </c>
    </row>
    <row r="16" spans="1:8" ht="14.4" x14ac:dyDescent="0.3">
      <c r="A16" s="41" t="s">
        <v>451</v>
      </c>
      <c r="B16" s="41" t="s">
        <v>456</v>
      </c>
      <c r="C16" s="41" t="s">
        <v>457</v>
      </c>
      <c r="D16" s="41" t="s">
        <v>454</v>
      </c>
      <c r="E16" s="42" t="s">
        <v>458</v>
      </c>
    </row>
    <row r="17" spans="1:6" ht="14.4" x14ac:dyDescent="0.3">
      <c r="A17" s="41" t="s">
        <v>451</v>
      </c>
      <c r="B17" s="41" t="s">
        <v>459</v>
      </c>
      <c r="C17" s="41" t="s">
        <v>460</v>
      </c>
      <c r="D17" s="41" t="s">
        <v>454</v>
      </c>
      <c r="E17" s="42" t="s">
        <v>461</v>
      </c>
    </row>
    <row r="18" spans="1:6" ht="14.4" x14ac:dyDescent="0.3">
      <c r="A18" s="41" t="s">
        <v>451</v>
      </c>
      <c r="B18" s="41" t="s">
        <v>462</v>
      </c>
      <c r="C18" s="41" t="s">
        <v>463</v>
      </c>
      <c r="D18" s="41" t="s">
        <v>454</v>
      </c>
      <c r="E18" s="42" t="s">
        <v>440</v>
      </c>
    </row>
    <row r="19" spans="1:6" ht="14.4" x14ac:dyDescent="0.3">
      <c r="A19" s="41" t="s">
        <v>464</v>
      </c>
      <c r="B19" s="41" t="s">
        <v>465</v>
      </c>
      <c r="C19" s="41" t="s">
        <v>466</v>
      </c>
      <c r="D19" s="41" t="s">
        <v>467</v>
      </c>
      <c r="E19" s="42" t="s">
        <v>468</v>
      </c>
    </row>
    <row r="20" spans="1:6" ht="14.4" x14ac:dyDescent="0.3">
      <c r="A20" s="41" t="s">
        <v>464</v>
      </c>
      <c r="B20" s="41" t="s">
        <v>469</v>
      </c>
      <c r="C20" s="41" t="s">
        <v>470</v>
      </c>
      <c r="D20" s="41" t="s">
        <v>467</v>
      </c>
      <c r="E20" s="42" t="s">
        <v>440</v>
      </c>
    </row>
    <row r="21" spans="1:6" ht="15.75" customHeight="1" x14ac:dyDescent="0.3">
      <c r="A21" s="41" t="s">
        <v>464</v>
      </c>
      <c r="B21" s="41" t="s">
        <v>471</v>
      </c>
      <c r="C21" s="41" t="s">
        <v>472</v>
      </c>
      <c r="D21" s="41" t="s">
        <v>467</v>
      </c>
      <c r="E21" s="42" t="s">
        <v>473</v>
      </c>
    </row>
    <row r="22" spans="1:6" ht="15.75" customHeight="1" x14ac:dyDescent="0.3">
      <c r="A22" s="41" t="s">
        <v>464</v>
      </c>
      <c r="B22" s="41" t="s">
        <v>474</v>
      </c>
      <c r="C22" s="41" t="s">
        <v>475</v>
      </c>
      <c r="D22" s="41" t="s">
        <v>467</v>
      </c>
      <c r="E22" s="42" t="s">
        <v>473</v>
      </c>
    </row>
    <row r="23" spans="1:6" ht="15.75" customHeight="1" x14ac:dyDescent="0.3">
      <c r="A23" s="41" t="s">
        <v>476</v>
      </c>
      <c r="B23" s="41" t="s">
        <v>477</v>
      </c>
      <c r="C23" s="41" t="s">
        <v>478</v>
      </c>
      <c r="D23" s="41" t="s">
        <v>479</v>
      </c>
      <c r="E23" s="42" t="s">
        <v>480</v>
      </c>
    </row>
    <row r="24" spans="1:6" ht="15.75" customHeight="1" x14ac:dyDescent="0.3">
      <c r="A24" s="41" t="s">
        <v>481</v>
      </c>
      <c r="B24" s="41" t="s">
        <v>482</v>
      </c>
      <c r="C24" s="41" t="s">
        <v>483</v>
      </c>
      <c r="D24" s="41" t="s">
        <v>484</v>
      </c>
      <c r="E24" s="42" t="s">
        <v>485</v>
      </c>
    </row>
    <row r="25" spans="1:6" ht="15.75" customHeight="1" x14ac:dyDescent="0.3">
      <c r="A25" s="41" t="s">
        <v>481</v>
      </c>
      <c r="B25" s="41" t="s">
        <v>486</v>
      </c>
      <c r="C25" s="41" t="s">
        <v>487</v>
      </c>
      <c r="D25" s="41" t="s">
        <v>484</v>
      </c>
      <c r="E25" s="42" t="s">
        <v>488</v>
      </c>
    </row>
    <row r="26" spans="1:6" ht="15.75" customHeight="1" x14ac:dyDescent="0.3">
      <c r="A26" s="41" t="s">
        <v>481</v>
      </c>
      <c r="B26" s="41" t="s">
        <v>489</v>
      </c>
      <c r="C26" s="41" t="s">
        <v>490</v>
      </c>
      <c r="D26" s="41" t="s">
        <v>432</v>
      </c>
      <c r="E26" s="42" t="s">
        <v>491</v>
      </c>
    </row>
    <row r="27" spans="1:6" ht="15.75" customHeight="1" x14ac:dyDescent="0.3">
      <c r="A27" s="41" t="s">
        <v>492</v>
      </c>
      <c r="B27" s="41" t="s">
        <v>493</v>
      </c>
      <c r="C27" s="41" t="s">
        <v>494</v>
      </c>
      <c r="D27" s="41" t="s">
        <v>495</v>
      </c>
      <c r="E27" s="42" t="s">
        <v>496</v>
      </c>
      <c r="F27" s="3" t="s">
        <v>497</v>
      </c>
    </row>
    <row r="28" spans="1:6" ht="15.75" customHeight="1" x14ac:dyDescent="0.3">
      <c r="A28" s="41" t="s">
        <v>492</v>
      </c>
      <c r="B28" s="41" t="s">
        <v>498</v>
      </c>
      <c r="C28" s="41" t="s">
        <v>499</v>
      </c>
      <c r="D28" s="41" t="s">
        <v>495</v>
      </c>
      <c r="E28" s="42" t="s">
        <v>496</v>
      </c>
    </row>
    <row r="29" spans="1:6" ht="15.75" customHeight="1" x14ac:dyDescent="0.3">
      <c r="A29" s="41" t="s">
        <v>492</v>
      </c>
      <c r="B29" s="41" t="s">
        <v>500</v>
      </c>
      <c r="C29" s="41" t="s">
        <v>501</v>
      </c>
      <c r="D29" s="41" t="s">
        <v>502</v>
      </c>
      <c r="E29" s="42" t="s">
        <v>503</v>
      </c>
    </row>
    <row r="30" spans="1:6" ht="15.75" customHeight="1" x14ac:dyDescent="0.3">
      <c r="A30" s="41" t="s">
        <v>492</v>
      </c>
      <c r="B30" s="41" t="s">
        <v>504</v>
      </c>
      <c r="C30" s="41" t="s">
        <v>505</v>
      </c>
      <c r="D30" s="41" t="s">
        <v>506</v>
      </c>
      <c r="E30" s="42" t="s">
        <v>507</v>
      </c>
    </row>
    <row r="31" spans="1:6" ht="15.75" customHeight="1" x14ac:dyDescent="0.3">
      <c r="A31" s="41" t="s">
        <v>492</v>
      </c>
      <c r="B31" s="41" t="s">
        <v>508</v>
      </c>
      <c r="C31" s="41" t="s">
        <v>509</v>
      </c>
      <c r="D31" s="41" t="s">
        <v>510</v>
      </c>
      <c r="E31" s="42" t="s">
        <v>507</v>
      </c>
      <c r="F31" s="3" t="s">
        <v>511</v>
      </c>
    </row>
    <row r="32" spans="1:6" ht="15.75" customHeight="1" x14ac:dyDescent="0.3">
      <c r="A32" s="41" t="s">
        <v>492</v>
      </c>
      <c r="B32" s="41" t="s">
        <v>512</v>
      </c>
      <c r="C32" s="41" t="s">
        <v>513</v>
      </c>
      <c r="D32" s="41" t="s">
        <v>506</v>
      </c>
      <c r="E32" s="42" t="s">
        <v>514</v>
      </c>
    </row>
    <row r="33" spans="1:6" ht="15.75" customHeight="1" x14ac:dyDescent="0.3">
      <c r="A33" s="41" t="s">
        <v>492</v>
      </c>
      <c r="B33" s="41" t="s">
        <v>515</v>
      </c>
      <c r="C33" s="41" t="s">
        <v>516</v>
      </c>
      <c r="D33" s="41" t="s">
        <v>517</v>
      </c>
      <c r="E33" s="42" t="s">
        <v>514</v>
      </c>
    </row>
    <row r="34" spans="1:6" ht="15.75" customHeight="1" x14ac:dyDescent="0.3">
      <c r="A34" s="41" t="s">
        <v>492</v>
      </c>
      <c r="B34" s="41" t="s">
        <v>518</v>
      </c>
      <c r="C34" s="41" t="s">
        <v>519</v>
      </c>
      <c r="D34" s="41" t="s">
        <v>520</v>
      </c>
      <c r="E34" s="42" t="s">
        <v>521</v>
      </c>
    </row>
    <row r="35" spans="1:6" ht="15.75" customHeight="1" x14ac:dyDescent="0.3">
      <c r="A35" s="41" t="s">
        <v>522</v>
      </c>
      <c r="B35" s="41" t="s">
        <v>523</v>
      </c>
      <c r="C35" s="41" t="s">
        <v>524</v>
      </c>
      <c r="D35" s="41" t="s">
        <v>525</v>
      </c>
      <c r="E35" s="42" t="s">
        <v>526</v>
      </c>
    </row>
    <row r="36" spans="1:6" ht="15.75" customHeight="1" x14ac:dyDescent="0.3">
      <c r="A36" s="41" t="s">
        <v>522</v>
      </c>
      <c r="B36" s="41" t="s">
        <v>527</v>
      </c>
      <c r="C36" s="41" t="s">
        <v>528</v>
      </c>
      <c r="D36" s="41" t="s">
        <v>525</v>
      </c>
      <c r="E36" s="42" t="s">
        <v>529</v>
      </c>
    </row>
    <row r="37" spans="1:6" ht="15.75" customHeight="1" x14ac:dyDescent="0.3">
      <c r="A37" s="41" t="s">
        <v>522</v>
      </c>
      <c r="B37" s="41" t="s">
        <v>530</v>
      </c>
      <c r="C37" s="41" t="s">
        <v>531</v>
      </c>
      <c r="D37" s="41" t="s">
        <v>525</v>
      </c>
      <c r="E37" s="42" t="s">
        <v>532</v>
      </c>
    </row>
    <row r="38" spans="1:6" ht="15.75" customHeight="1" x14ac:dyDescent="0.3">
      <c r="A38" s="41" t="s">
        <v>522</v>
      </c>
      <c r="B38" s="41" t="s">
        <v>533</v>
      </c>
      <c r="C38" s="41" t="s">
        <v>534</v>
      </c>
      <c r="D38" s="41" t="s">
        <v>278</v>
      </c>
      <c r="E38" s="42" t="s">
        <v>529</v>
      </c>
    </row>
    <row r="39" spans="1:6" ht="15.75" customHeight="1" x14ac:dyDescent="0.3">
      <c r="A39" s="41" t="s">
        <v>522</v>
      </c>
      <c r="B39" s="41" t="s">
        <v>535</v>
      </c>
      <c r="C39" s="41" t="s">
        <v>536</v>
      </c>
      <c r="D39" s="41" t="s">
        <v>537</v>
      </c>
      <c r="E39" s="42" t="s">
        <v>538</v>
      </c>
    </row>
    <row r="40" spans="1:6" ht="15.75" customHeight="1" x14ac:dyDescent="0.3">
      <c r="A40" s="41" t="s">
        <v>522</v>
      </c>
      <c r="B40" s="41" t="s">
        <v>539</v>
      </c>
      <c r="C40" s="41" t="s">
        <v>540</v>
      </c>
      <c r="D40" s="41" t="s">
        <v>541</v>
      </c>
      <c r="E40" s="42" t="s">
        <v>542</v>
      </c>
    </row>
    <row r="41" spans="1:6" ht="15.75" customHeight="1" x14ac:dyDescent="0.3">
      <c r="A41" s="41" t="s">
        <v>522</v>
      </c>
      <c r="B41" s="41" t="s">
        <v>543</v>
      </c>
      <c r="C41" s="41" t="s">
        <v>544</v>
      </c>
      <c r="D41" s="41" t="s">
        <v>545</v>
      </c>
      <c r="E41" s="42" t="s">
        <v>546</v>
      </c>
    </row>
    <row r="42" spans="1:6" ht="15.75" customHeight="1" x14ac:dyDescent="0.3"/>
    <row r="43" spans="1:6" ht="15.75" customHeight="1" x14ac:dyDescent="0.3">
      <c r="A43" s="3" t="s">
        <v>547</v>
      </c>
    </row>
    <row r="44" spans="1:6" ht="15.75" customHeight="1" x14ac:dyDescent="0.3"/>
    <row r="45" spans="1:6" ht="15.75" customHeight="1" x14ac:dyDescent="0.3">
      <c r="A45" s="49" t="s">
        <v>149</v>
      </c>
      <c r="B45" s="49" t="s">
        <v>548</v>
      </c>
      <c r="C45" s="49" t="s">
        <v>549</v>
      </c>
      <c r="D45" s="49" t="s">
        <v>421</v>
      </c>
      <c r="E45" s="49" t="s">
        <v>422</v>
      </c>
      <c r="F45" s="3" t="s">
        <v>550</v>
      </c>
    </row>
    <row r="46" spans="1:6" ht="15.75" customHeight="1" x14ac:dyDescent="0.3">
      <c r="A46" s="49" t="s">
        <v>149</v>
      </c>
      <c r="B46" s="49" t="s">
        <v>551</v>
      </c>
      <c r="C46" s="49" t="s">
        <v>425</v>
      </c>
      <c r="D46" s="49" t="s">
        <v>421</v>
      </c>
      <c r="E46" s="49" t="s">
        <v>422</v>
      </c>
      <c r="F46" s="3" t="s">
        <v>552</v>
      </c>
    </row>
    <row r="47" spans="1:6" ht="15.75" customHeight="1" x14ac:dyDescent="0.3">
      <c r="A47" s="49" t="s">
        <v>149</v>
      </c>
      <c r="B47" s="49" t="s">
        <v>553</v>
      </c>
      <c r="C47" s="49" t="s">
        <v>435</v>
      </c>
      <c r="D47" s="49" t="s">
        <v>421</v>
      </c>
      <c r="E47" s="49" t="s">
        <v>422</v>
      </c>
      <c r="F47" s="3" t="s">
        <v>554</v>
      </c>
    </row>
    <row r="48" spans="1:6" ht="15.75" customHeight="1" x14ac:dyDescent="0.3">
      <c r="A48" s="49" t="s">
        <v>476</v>
      </c>
      <c r="B48" s="49" t="s">
        <v>555</v>
      </c>
      <c r="C48" s="49" t="s">
        <v>556</v>
      </c>
      <c r="D48" s="49" t="s">
        <v>557</v>
      </c>
      <c r="E48" s="49" t="s">
        <v>558</v>
      </c>
      <c r="F48" s="3" t="s">
        <v>559</v>
      </c>
    </row>
    <row r="49" spans="1:6" ht="15.75" customHeight="1" x14ac:dyDescent="0.3">
      <c r="A49" s="49" t="s">
        <v>492</v>
      </c>
      <c r="B49" s="49" t="s">
        <v>560</v>
      </c>
      <c r="C49" s="49" t="s">
        <v>561</v>
      </c>
      <c r="D49" s="49" t="s">
        <v>484</v>
      </c>
      <c r="E49" s="49" t="s">
        <v>562</v>
      </c>
      <c r="F49" s="3" t="s">
        <v>563</v>
      </c>
    </row>
    <row r="50" spans="1:6" ht="15.75" customHeight="1" x14ac:dyDescent="0.3"/>
    <row r="51" spans="1:6" ht="15.75" customHeight="1" x14ac:dyDescent="0.3"/>
    <row r="52" spans="1:6" ht="15.75" customHeight="1" x14ac:dyDescent="0.3"/>
    <row r="53" spans="1:6" ht="15.75" customHeight="1" x14ac:dyDescent="0.3"/>
    <row r="54" spans="1:6" ht="15.75" customHeight="1" x14ac:dyDescent="0.3"/>
    <row r="55" spans="1:6" ht="15.75" customHeight="1" x14ac:dyDescent="0.3"/>
    <row r="56" spans="1:6" ht="15.75" customHeight="1" x14ac:dyDescent="0.3"/>
    <row r="57" spans="1:6" ht="15.75" customHeight="1" x14ac:dyDescent="0.3"/>
    <row r="58" spans="1:6" ht="15.75" customHeight="1" x14ac:dyDescent="0.3"/>
    <row r="59" spans="1:6" ht="15.75" customHeight="1" x14ac:dyDescent="0.3"/>
    <row r="60" spans="1:6" ht="15.75" customHeight="1" x14ac:dyDescent="0.3"/>
    <row r="61" spans="1:6" ht="15.75" customHeight="1" x14ac:dyDescent="0.3"/>
    <row r="62" spans="1:6" ht="15.75" customHeight="1" x14ac:dyDescent="0.3"/>
    <row r="63" spans="1:6" ht="15.75" customHeight="1" x14ac:dyDescent="0.3"/>
    <row r="64" spans="1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6"/>
  <sheetViews>
    <sheetView workbookViewId="0"/>
  </sheetViews>
  <sheetFormatPr defaultRowHeight="14.4" x14ac:dyDescent="0.3"/>
  <cols>
    <col min="1" max="1" width="44" customWidth="1"/>
    <col min="2" max="10" width="14" customWidth="1"/>
  </cols>
  <sheetData>
    <row r="1" spans="1:9" ht="17.399999999999999" x14ac:dyDescent="0.3">
      <c r="A1" s="48" t="s">
        <v>564</v>
      </c>
    </row>
    <row r="2" spans="1:9" x14ac:dyDescent="0.3">
      <c r="A2" s="3" t="s">
        <v>565</v>
      </c>
    </row>
    <row r="4" spans="1:9" x14ac:dyDescent="0.3">
      <c r="A4" s="50" t="s">
        <v>566</v>
      </c>
    </row>
    <row r="5" spans="1:9" x14ac:dyDescent="0.3">
      <c r="A5" s="51" t="s">
        <v>567</v>
      </c>
      <c r="B5" s="51" t="s">
        <v>568</v>
      </c>
      <c r="C5" s="51" t="s">
        <v>569</v>
      </c>
      <c r="D5" s="51" t="s">
        <v>570</v>
      </c>
      <c r="E5" s="51" t="s">
        <v>571</v>
      </c>
      <c r="F5" s="51" t="s">
        <v>572</v>
      </c>
      <c r="G5" s="51" t="s">
        <v>202</v>
      </c>
      <c r="H5" s="51" t="s">
        <v>573</v>
      </c>
      <c r="I5" s="51" t="s">
        <v>574</v>
      </c>
    </row>
    <row r="6" spans="1:9" x14ac:dyDescent="0.3">
      <c r="A6" s="52" t="s">
        <v>575</v>
      </c>
      <c r="B6" s="53">
        <v>1</v>
      </c>
      <c r="C6" s="53">
        <v>5</v>
      </c>
      <c r="D6" s="53">
        <v>2</v>
      </c>
      <c r="E6" s="53">
        <v>0.1</v>
      </c>
      <c r="F6" s="54">
        <f>('1_Cost_Job'!$B$20*D6+('1_Cost_Job'!$B$19-1)*'1_Cost_Job'!$B$20*E6+'1_Cost_Job'!$B$19*'1_Cost_Job'!$B$21*B6+'1_Cost_Job'!$B$19*'1_Cost_Job'!$B$22*C6)/1000000</f>
        <v>2.315E-2</v>
      </c>
      <c r="G6" s="54">
        <f>(F6*(1+'1_Cost_Job'!$B$46)+'1_Cost_Job'!$B$43+'2_Pricing'!$B$30+'2_Pricing'!$B$31*(1-'1_Cost_Job'!$B$10))/'1_Cost_Job'!$B$10</f>
        <v>4.7041118152561456E-2</v>
      </c>
      <c r="H6" s="55">
        <f>1-G6/'2_Pricing'!$B$19</f>
        <v>0.68410079886779884</v>
      </c>
      <c r="I6" s="56" t="str">
        <f t="shared" ref="I6:I11" si="0">IF(H6&gt;0.85,"Nghi ngờ &gt;85%",IF(H6&gt;=0.6,"An toàn",IF(H6&gt;=0.5,"Cảnh báo","Nguy hiểm")))</f>
        <v>An toàn</v>
      </c>
    </row>
    <row r="7" spans="1:9" x14ac:dyDescent="0.3">
      <c r="A7" s="52" t="s">
        <v>576</v>
      </c>
      <c r="B7" s="53">
        <v>1</v>
      </c>
      <c r="C7" s="53">
        <v>5</v>
      </c>
      <c r="D7" s="53">
        <v>1.25</v>
      </c>
      <c r="E7" s="53">
        <v>0.1</v>
      </c>
      <c r="F7" s="54">
        <f>('1_Cost_Job'!$B$20*D7+('1_Cost_Job'!$B$19-1)*'1_Cost_Job'!$B$20*E7+'1_Cost_Job'!$B$19*'1_Cost_Job'!$B$21*B7+'1_Cost_Job'!$B$19*'1_Cost_Job'!$B$22*C7)/1000000</f>
        <v>2.0525000000000002E-2</v>
      </c>
      <c r="G7" s="54">
        <f>(F7*(1+'1_Cost_Job'!$B$46)+'1_Cost_Job'!$B$43+'2_Pricing'!$B$30+'2_Pricing'!$B$31*(1-'1_Cost_Job'!$B$10))/'1_Cost_Job'!$B$10</f>
        <v>4.3066118152561457E-2</v>
      </c>
      <c r="H7" s="55">
        <f>1-G7/'2_Pricing'!$B$19</f>
        <v>0.7107944527139527</v>
      </c>
      <c r="I7" s="56" t="str">
        <f t="shared" si="0"/>
        <v>An toàn</v>
      </c>
    </row>
    <row r="8" spans="1:9" x14ac:dyDescent="0.3">
      <c r="A8" s="52" t="s">
        <v>577</v>
      </c>
      <c r="B8" s="53">
        <v>2</v>
      </c>
      <c r="C8" s="53">
        <v>10</v>
      </c>
      <c r="D8" s="53">
        <v>4</v>
      </c>
      <c r="E8" s="53">
        <v>0.1</v>
      </c>
      <c r="F8" s="54">
        <f>('1_Cost_Job'!$B$20*D8+('1_Cost_Job'!$B$19-1)*'1_Cost_Job'!$B$20*E8+'1_Cost_Job'!$B$19*'1_Cost_Job'!$B$21*B8+'1_Cost_Job'!$B$19*'1_Cost_Job'!$B$22*C8)/1000000</f>
        <v>4.4549999999999999E-2</v>
      </c>
      <c r="G8" s="54">
        <f>(F8*(1+'1_Cost_Job'!$B$46)+'1_Cost_Job'!$B$43+'2_Pricing'!$B$30+'2_Pricing'!$B$31*(1-'1_Cost_Job'!$B$10))/'1_Cost_Job'!$B$10</f>
        <v>7.9446832438275744E-2</v>
      </c>
      <c r="H8" s="55">
        <f>1-G8/'2_Pricing'!$B$19</f>
        <v>0.46648396370296363</v>
      </c>
      <c r="I8" s="56" t="str">
        <f t="shared" si="0"/>
        <v>Nguy hiểm</v>
      </c>
    </row>
    <row r="9" spans="1:9" x14ac:dyDescent="0.3">
      <c r="A9" s="52" t="s">
        <v>578</v>
      </c>
      <c r="B9" s="53">
        <v>0.1</v>
      </c>
      <c r="C9" s="53">
        <v>0.5</v>
      </c>
      <c r="D9" s="53">
        <v>0.2</v>
      </c>
      <c r="E9" s="53">
        <v>0.01</v>
      </c>
      <c r="F9" s="54">
        <f>('1_Cost_Job'!$B$20*D9+('1_Cost_Job'!$B$19-1)*'1_Cost_Job'!$B$20*E9+'1_Cost_Job'!$B$19*'1_Cost_Job'!$B$21*B9+'1_Cost_Job'!$B$19*'1_Cost_Job'!$B$22*C9)/1000000</f>
        <v>2.3149999999999998E-3</v>
      </c>
      <c r="G9" s="54">
        <f>(F9*(1+'1_Cost_Job'!$B$46)+'1_Cost_Job'!$B$43+'2_Pricing'!$B$30+'2_Pricing'!$B$31*(1-'1_Cost_Job'!$B$10))/'1_Cost_Job'!$B$10</f>
        <v>1.5490975295418596E-2</v>
      </c>
      <c r="H9" s="55">
        <f>1-G9/'2_Pricing'!$B$19</f>
        <v>0.89597214282384285</v>
      </c>
      <c r="I9" s="56" t="str">
        <f t="shared" si="0"/>
        <v>Nghi ngờ &gt;85%</v>
      </c>
    </row>
    <row r="10" spans="1:9" x14ac:dyDescent="0.3">
      <c r="A10" s="52" t="s">
        <v>579</v>
      </c>
      <c r="B10" s="53">
        <v>0.75</v>
      </c>
      <c r="C10" s="53">
        <v>3.75</v>
      </c>
      <c r="D10" s="53">
        <v>0.75</v>
      </c>
      <c r="E10" s="53">
        <v>7.4999999999999997E-2</v>
      </c>
      <c r="F10" s="54">
        <f>('1_Cost_Job'!$B$20*D10+('1_Cost_Job'!$B$19-1)*'1_Cost_Job'!$B$20*E10+'1_Cost_Job'!$B$19*'1_Cost_Job'!$B$21*B10+'1_Cost_Job'!$B$19*'1_Cost_Job'!$B$22*C10)/1000000</f>
        <v>1.4737500000000001E-2</v>
      </c>
      <c r="G10" s="54">
        <f>(F10*(1+'1_Cost_Job'!$B$46)+'1_Cost_Job'!$B$43+'2_Pricing'!$B$30+'2_Pricing'!$B$31*(1-'1_Cost_Job'!$B$10))/'1_Cost_Job'!$B$10</f>
        <v>3.4302189581132889E-2</v>
      </c>
      <c r="H10" s="55">
        <f>1-G10/'2_Pricing'!$B$19</f>
        <v>0.76964760381285369</v>
      </c>
      <c r="I10" s="56" t="str">
        <f t="shared" si="0"/>
        <v>An toàn</v>
      </c>
    </row>
    <row r="11" spans="1:9" x14ac:dyDescent="0.3">
      <c r="A11" s="52" t="s">
        <v>580</v>
      </c>
      <c r="B11" s="53">
        <v>1.5</v>
      </c>
      <c r="C11" s="53">
        <v>7.5</v>
      </c>
      <c r="D11" s="53">
        <v>1.5</v>
      </c>
      <c r="E11" s="53">
        <v>0.15</v>
      </c>
      <c r="F11" s="54">
        <f>('1_Cost_Job'!$B$20*D11+('1_Cost_Job'!$B$19-1)*'1_Cost_Job'!$B$20*E11+'1_Cost_Job'!$B$19*'1_Cost_Job'!$B$21*B11+'1_Cost_Job'!$B$19*'1_Cost_Job'!$B$22*C11)/1000000</f>
        <v>2.9475000000000001E-2</v>
      </c>
      <c r="G11" s="54">
        <f>(F11*(1+'1_Cost_Job'!$B$46)+'1_Cost_Job'!$B$43+'2_Pricing'!$B$30+'2_Pricing'!$B$31*(1-'1_Cost_Job'!$B$10))/'1_Cost_Job'!$B$10</f>
        <v>5.6618975295418601E-2</v>
      </c>
      <c r="H11" s="55">
        <f>1-G11/'2_Pricing'!$B$19</f>
        <v>0.61978180436230423</v>
      </c>
      <c r="I11" s="56" t="str">
        <f t="shared" si="0"/>
        <v>An toàn</v>
      </c>
    </row>
    <row r="12" spans="1:9" x14ac:dyDescent="0.3">
      <c r="A12" s="3" t="s">
        <v>581</v>
      </c>
    </row>
    <row r="14" spans="1:9" x14ac:dyDescent="0.3">
      <c r="A14" s="50" t="s">
        <v>582</v>
      </c>
    </row>
    <row r="15" spans="1:9" x14ac:dyDescent="0.3">
      <c r="A15" s="51" t="s">
        <v>567</v>
      </c>
      <c r="B15" s="51" t="s">
        <v>583</v>
      </c>
      <c r="C15" s="51" t="s">
        <v>584</v>
      </c>
      <c r="D15" s="51" t="s">
        <v>585</v>
      </c>
      <c r="E15" s="51" t="s">
        <v>202</v>
      </c>
      <c r="F15" s="51" t="s">
        <v>573</v>
      </c>
    </row>
    <row r="16" spans="1:9" x14ac:dyDescent="0.3">
      <c r="A16" t="s">
        <v>586</v>
      </c>
      <c r="B16" s="53">
        <v>150</v>
      </c>
      <c r="C16" s="53">
        <v>7500</v>
      </c>
      <c r="D16" s="57">
        <f>B16/C16</f>
        <v>0.02</v>
      </c>
      <c r="E16" s="57">
        <f>('1_Cost_Job'!$B$31*(1+'1_Cost_Job'!$B$46)+D16+'2_Pricing'!$B$30)/'1_Cost_Job'!$B$10</f>
        <v>6.8469689581132878E-2</v>
      </c>
      <c r="F16" s="58">
        <f>1-E16/'2_Pricing'!$B$19</f>
        <v>0.54019969996670003</v>
      </c>
    </row>
    <row r="17" spans="1:6" x14ac:dyDescent="0.3">
      <c r="A17" t="s">
        <v>587</v>
      </c>
      <c r="B17" s="53">
        <v>190</v>
      </c>
      <c r="C17" s="53">
        <v>45000</v>
      </c>
      <c r="D17" s="57">
        <f>B17/C17</f>
        <v>4.2222222222222218E-3</v>
      </c>
      <c r="E17" s="57">
        <f>('1_Cost_Job'!$B$31*(1+'1_Cost_Job'!$B$46)+D17+'2_Pricing'!$B$30)/'1_Cost_Job'!$B$10</f>
        <v>4.5930007041450338E-2</v>
      </c>
      <c r="F17" s="58">
        <f>1-E17/'2_Pricing'!$B$19</f>
        <v>0.69156233732933736</v>
      </c>
    </row>
    <row r="18" spans="1:6" x14ac:dyDescent="0.3">
      <c r="A18" t="s">
        <v>588</v>
      </c>
      <c r="B18" s="53">
        <v>400</v>
      </c>
      <c r="C18" s="53">
        <v>150000</v>
      </c>
      <c r="D18" s="57">
        <f>B18/C18</f>
        <v>2.6666666666666666E-3</v>
      </c>
      <c r="E18" s="57">
        <f>('1_Cost_Job'!$B$31*(1+'1_Cost_Job'!$B$46)+D18+'2_Pricing'!$B$30)/'1_Cost_Job'!$B$10</f>
        <v>4.3707784819228122E-2</v>
      </c>
      <c r="F18" s="58">
        <f>1-E18/'2_Pricing'!$B$19</f>
        <v>0.70648541425241418</v>
      </c>
    </row>
    <row r="20" spans="1:6" x14ac:dyDescent="0.3">
      <c r="A20" s="50" t="s">
        <v>589</v>
      </c>
    </row>
    <row r="21" spans="1:6" x14ac:dyDescent="0.3">
      <c r="A21" s="51" t="s">
        <v>590</v>
      </c>
      <c r="B21" s="51" t="s">
        <v>591</v>
      </c>
      <c r="C21" s="51" t="s">
        <v>592</v>
      </c>
      <c r="D21" s="51" t="s">
        <v>574</v>
      </c>
    </row>
    <row r="22" spans="1:6" x14ac:dyDescent="0.3">
      <c r="A22" s="59">
        <v>0</v>
      </c>
      <c r="B22" s="57">
        <f>'2_Pricing'!$B$19*(1-A22)</f>
        <v>0.14891179839633448</v>
      </c>
      <c r="C22" s="58">
        <f>1-'2_Pricing'!$B$5/B22</f>
        <v>0.68410079886779895</v>
      </c>
      <c r="D22" s="60" t="str">
        <f>IF(C22&gt;=0.6,"An toàn",IF(C22&gt;=0.5,"Cảnh báo","Nguy hiểm"))</f>
        <v>An toàn</v>
      </c>
    </row>
    <row r="23" spans="1:6" x14ac:dyDescent="0.3">
      <c r="A23" s="59">
        <v>0.2</v>
      </c>
      <c r="B23" s="57">
        <f>'2_Pricing'!$B$19*(1-A23)</f>
        <v>0.11912943871706759</v>
      </c>
      <c r="C23" s="58">
        <f>1-'2_Pricing'!$B$5/B23</f>
        <v>0.60512599858474858</v>
      </c>
      <c r="D23" s="60" t="str">
        <f>IF(C23&gt;=0.6,"An toàn",IF(C23&gt;=0.5,"Cảnh báo","Nguy hiểm"))</f>
        <v>An toàn</v>
      </c>
    </row>
    <row r="24" spans="1:6" x14ac:dyDescent="0.3">
      <c r="A24" s="59">
        <v>0.3</v>
      </c>
      <c r="B24" s="57">
        <f>'2_Pricing'!$B$19*(1-A24)</f>
        <v>0.10423825887743413</v>
      </c>
      <c r="C24" s="58">
        <f>1-'2_Pricing'!$B$5/B24</f>
        <v>0.54871542695399844</v>
      </c>
      <c r="D24" s="60" t="str">
        <f>IF(C24&gt;=0.6,"An toàn",IF(C24&gt;=0.5,"Cảnh báo","Nguy hiểm"))</f>
        <v>Cảnh báo</v>
      </c>
    </row>
    <row r="25" spans="1:6" x14ac:dyDescent="0.3">
      <c r="A25" s="3" t="s">
        <v>593</v>
      </c>
    </row>
    <row r="27" spans="1:6" x14ac:dyDescent="0.3">
      <c r="A27" s="50" t="s">
        <v>594</v>
      </c>
    </row>
    <row r="28" spans="1:6" x14ac:dyDescent="0.3">
      <c r="A28" t="s">
        <v>595</v>
      </c>
      <c r="B28" s="57">
        <f>'1_Cost_Job'!$B$53/60*'1_Cost_Job'!$B$50</f>
        <v>0.13559130827172067</v>
      </c>
    </row>
    <row r="29" spans="1:6" x14ac:dyDescent="0.3">
      <c r="A29" t="s">
        <v>596</v>
      </c>
      <c r="B29" s="57">
        <f>('2_Pricing'!$B$29+'2_Pricing'!$B$30+B28*(1-'1_Cost_Job'!$B$10))/'1_Cost_Job'!$B$10</f>
        <v>0.10515167884044176</v>
      </c>
    </row>
    <row r="30" spans="1:6" x14ac:dyDescent="0.3">
      <c r="A30" t="s">
        <v>597</v>
      </c>
      <c r="B30" s="58">
        <f>1-B29/'2_Pricing'!$B$19</f>
        <v>0.29386603363303343</v>
      </c>
    </row>
    <row r="31" spans="1:6" x14ac:dyDescent="0.3">
      <c r="A31" t="s">
        <v>598</v>
      </c>
      <c r="B31" s="58">
        <f>('2_Pricing'!$B$29+'2_Pricing'!$B$30+B28)/('2_Pricing'!$B$19*(1-'2_Pricing'!$B$32)+B28)</f>
        <v>0.86351466067855387</v>
      </c>
    </row>
    <row r="32" spans="1:6" x14ac:dyDescent="0.3">
      <c r="A32" s="3" t="s">
        <v>599</v>
      </c>
    </row>
    <row r="34" spans="1:3" x14ac:dyDescent="0.3">
      <c r="A34" s="50" t="s">
        <v>600</v>
      </c>
    </row>
    <row r="35" spans="1:3" x14ac:dyDescent="0.3">
      <c r="A35" t="s">
        <v>601</v>
      </c>
      <c r="B35" s="53">
        <v>20000000</v>
      </c>
      <c r="C35" s="3" t="s">
        <v>602</v>
      </c>
    </row>
    <row r="36" spans="1:3" x14ac:dyDescent="0.3">
      <c r="A36" t="s">
        <v>603</v>
      </c>
      <c r="B36" s="53">
        <v>5</v>
      </c>
      <c r="C36" s="3" t="s">
        <v>604</v>
      </c>
    </row>
    <row r="37" spans="1:3" x14ac:dyDescent="0.3">
      <c r="A37" t="s">
        <v>605</v>
      </c>
      <c r="B37" s="53">
        <v>1500000</v>
      </c>
      <c r="C37" s="3" t="s">
        <v>606</v>
      </c>
    </row>
    <row r="38" spans="1:3" x14ac:dyDescent="0.3">
      <c r="A38" t="s">
        <v>607</v>
      </c>
      <c r="B38" s="53">
        <v>1.5</v>
      </c>
      <c r="C38" s="3" t="s">
        <v>608</v>
      </c>
    </row>
    <row r="39" spans="1:3" x14ac:dyDescent="0.3">
      <c r="A39" t="s">
        <v>609</v>
      </c>
      <c r="B39" s="61">
        <f>(B35/B36+B37)*B38/'1_Cost_Job'!$B$68</f>
        <v>315.00572737686139</v>
      </c>
    </row>
    <row r="40" spans="1:3" x14ac:dyDescent="0.3">
      <c r="A40" t="s">
        <v>610</v>
      </c>
      <c r="B40" s="62">
        <f>B39/'4_Channel_Fit'!B9</f>
        <v>0.24541364103875551</v>
      </c>
    </row>
    <row r="41" spans="1:3" x14ac:dyDescent="0.3">
      <c r="A41" s="3" t="s">
        <v>611</v>
      </c>
    </row>
    <row r="43" spans="1:3" x14ac:dyDescent="0.3">
      <c r="A43" s="50" t="s">
        <v>612</v>
      </c>
    </row>
    <row r="44" spans="1:3" x14ac:dyDescent="0.3">
      <c r="A44" t="s">
        <v>613</v>
      </c>
      <c r="B44" s="58">
        <f>('2_Pricing'!$B$29+'2_Pricing'!$B$30)/('2_Pricing'!$B$19*0.5)</f>
        <v>0.44225888158508159</v>
      </c>
    </row>
    <row r="45" spans="1:3" x14ac:dyDescent="0.3">
      <c r="A45" t="s">
        <v>614</v>
      </c>
      <c r="B45" s="57">
        <f>(('2_Pricing'!$B$19*0.5)*'1_Cost_Job'!$B$10-'1_Cost_Job'!$B$43-'2_Pricing'!$B$30)/(1+'1_Cost_Job'!$B$46)</f>
        <v>4.1254100690494386E-2</v>
      </c>
    </row>
    <row r="46" spans="1:3" x14ac:dyDescent="0.3">
      <c r="A46" t="s">
        <v>615</v>
      </c>
      <c r="B46" s="62">
        <f>B45/'1_Cost_Job'!$B$31</f>
        <v>1.7820345870623928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/>
  </sheetViews>
  <sheetFormatPr defaultRowHeight="14.4" x14ac:dyDescent="0.3"/>
  <cols>
    <col min="1" max="1" width="16" customWidth="1"/>
    <col min="2" max="2" width="60" customWidth="1"/>
    <col min="3" max="3" width="12" customWidth="1"/>
    <col min="4" max="4" width="70" customWidth="1"/>
  </cols>
  <sheetData>
    <row r="1" spans="1:4" ht="17.399999999999999" x14ac:dyDescent="0.3">
      <c r="A1" s="48" t="s">
        <v>616</v>
      </c>
    </row>
    <row r="2" spans="1:4" x14ac:dyDescent="0.3">
      <c r="A2" s="3" t="s">
        <v>617</v>
      </c>
    </row>
    <row r="4" spans="1:4" x14ac:dyDescent="0.3">
      <c r="A4" s="51" t="s">
        <v>618</v>
      </c>
      <c r="B4" s="51" t="s">
        <v>619</v>
      </c>
      <c r="C4" s="51" t="s">
        <v>620</v>
      </c>
      <c r="D4" s="51" t="s">
        <v>621</v>
      </c>
    </row>
    <row r="5" spans="1:4" ht="45" customHeight="1" x14ac:dyDescent="0.3">
      <c r="A5" s="63" t="s">
        <v>622</v>
      </c>
      <c r="B5" s="63" t="s">
        <v>623</v>
      </c>
      <c r="C5" s="63" t="s">
        <v>624</v>
      </c>
      <c r="D5" s="63" t="s">
        <v>625</v>
      </c>
    </row>
    <row r="6" spans="1:4" ht="45" customHeight="1" x14ac:dyDescent="0.3">
      <c r="A6" s="63" t="s">
        <v>622</v>
      </c>
      <c r="B6" s="63" t="s">
        <v>626</v>
      </c>
      <c r="C6" s="63" t="s">
        <v>624</v>
      </c>
      <c r="D6" s="63" t="s">
        <v>627</v>
      </c>
    </row>
    <row r="7" spans="1:4" ht="45" customHeight="1" x14ac:dyDescent="0.3">
      <c r="A7" s="63" t="s">
        <v>622</v>
      </c>
      <c r="B7" s="63" t="s">
        <v>628</v>
      </c>
      <c r="C7" s="63" t="s">
        <v>624</v>
      </c>
      <c r="D7" s="63" t="s">
        <v>629</v>
      </c>
    </row>
    <row r="8" spans="1:4" ht="45" customHeight="1" x14ac:dyDescent="0.3">
      <c r="A8" s="63" t="s">
        <v>622</v>
      </c>
      <c r="B8" s="63" t="s">
        <v>630</v>
      </c>
      <c r="C8" s="63" t="s">
        <v>631</v>
      </c>
      <c r="D8" s="63" t="s">
        <v>632</v>
      </c>
    </row>
    <row r="9" spans="1:4" ht="45" customHeight="1" x14ac:dyDescent="0.3">
      <c r="A9" s="63" t="s">
        <v>622</v>
      </c>
      <c r="B9" s="63" t="s">
        <v>633</v>
      </c>
      <c r="C9" s="63" t="s">
        <v>634</v>
      </c>
      <c r="D9" s="63" t="s">
        <v>635</v>
      </c>
    </row>
    <row r="10" spans="1:4" ht="45" customHeight="1" x14ac:dyDescent="0.3">
      <c r="A10" s="63" t="s">
        <v>622</v>
      </c>
      <c r="B10" s="63" t="s">
        <v>636</v>
      </c>
      <c r="C10" s="63" t="s">
        <v>637</v>
      </c>
      <c r="D10" s="63" t="s">
        <v>638</v>
      </c>
    </row>
    <row r="11" spans="1:4" ht="45" customHeight="1" x14ac:dyDescent="0.3">
      <c r="A11" s="63" t="s">
        <v>622</v>
      </c>
      <c r="B11" s="63" t="s">
        <v>639</v>
      </c>
      <c r="C11" s="63" t="s">
        <v>624</v>
      </c>
      <c r="D11" s="63" t="s">
        <v>640</v>
      </c>
    </row>
    <row r="12" spans="1:4" ht="45" customHeight="1" x14ac:dyDescent="0.3">
      <c r="A12" s="63" t="s">
        <v>622</v>
      </c>
      <c r="B12" s="63" t="s">
        <v>641</v>
      </c>
      <c r="C12" s="63" t="s">
        <v>624</v>
      </c>
      <c r="D12" s="63" t="s">
        <v>642</v>
      </c>
    </row>
    <row r="13" spans="1:4" ht="45" customHeight="1" x14ac:dyDescent="0.3">
      <c r="A13" s="63" t="s">
        <v>643</v>
      </c>
      <c r="B13" s="63" t="s">
        <v>644</v>
      </c>
      <c r="C13" s="63" t="s">
        <v>645</v>
      </c>
      <c r="D13" s="63" t="s">
        <v>646</v>
      </c>
    </row>
    <row r="14" spans="1:4" ht="45" customHeight="1" x14ac:dyDescent="0.3">
      <c r="A14" s="63" t="s">
        <v>643</v>
      </c>
      <c r="B14" s="63" t="s">
        <v>647</v>
      </c>
      <c r="C14" s="63" t="s">
        <v>624</v>
      </c>
      <c r="D14" s="63" t="s">
        <v>648</v>
      </c>
    </row>
    <row r="15" spans="1:4" ht="45" customHeight="1" x14ac:dyDescent="0.3">
      <c r="A15" s="63" t="s">
        <v>643</v>
      </c>
      <c r="B15" s="63" t="s">
        <v>649</v>
      </c>
      <c r="C15" s="63" t="s">
        <v>650</v>
      </c>
      <c r="D15" s="63" t="s">
        <v>651</v>
      </c>
    </row>
    <row r="16" spans="1:4" ht="45" customHeight="1" x14ac:dyDescent="0.3">
      <c r="A16" s="63" t="s">
        <v>652</v>
      </c>
      <c r="B16" s="63" t="s">
        <v>653</v>
      </c>
      <c r="C16" s="63" t="s">
        <v>624</v>
      </c>
      <c r="D16" s="63" t="s">
        <v>654</v>
      </c>
    </row>
    <row r="17" spans="1:4" ht="45" customHeight="1" x14ac:dyDescent="0.3">
      <c r="A17" s="63" t="s">
        <v>652</v>
      </c>
      <c r="B17" s="63" t="s">
        <v>655</v>
      </c>
      <c r="C17" s="63" t="s">
        <v>650</v>
      </c>
      <c r="D17" s="63" t="s">
        <v>656</v>
      </c>
    </row>
    <row r="19" spans="1:4" x14ac:dyDescent="0.3">
      <c r="A19" s="64" t="s">
        <v>657</v>
      </c>
    </row>
    <row r="20" spans="1:4" ht="55.05" customHeight="1" x14ac:dyDescent="0.3">
      <c r="A20" s="63" t="s">
        <v>622</v>
      </c>
      <c r="B20" s="63" t="s">
        <v>658</v>
      </c>
      <c r="C20" s="63" t="s">
        <v>637</v>
      </c>
      <c r="D20" s="63" t="s">
        <v>659</v>
      </c>
    </row>
    <row r="21" spans="1:4" ht="55.05" customHeight="1" x14ac:dyDescent="0.3">
      <c r="A21" s="63" t="s">
        <v>622</v>
      </c>
      <c r="B21" s="63" t="s">
        <v>660</v>
      </c>
      <c r="C21" s="63" t="s">
        <v>645</v>
      </c>
      <c r="D21" s="63" t="s">
        <v>661</v>
      </c>
    </row>
    <row r="22" spans="1:4" ht="55.05" customHeight="1" x14ac:dyDescent="0.3">
      <c r="A22" s="63" t="s">
        <v>622</v>
      </c>
      <c r="B22" s="63" t="s">
        <v>662</v>
      </c>
      <c r="C22" s="63" t="s">
        <v>624</v>
      </c>
      <c r="D22" s="63" t="s">
        <v>663</v>
      </c>
    </row>
    <row r="23" spans="1:4" ht="55.05" customHeight="1" x14ac:dyDescent="0.3">
      <c r="A23" s="63" t="s">
        <v>652</v>
      </c>
      <c r="B23" s="63" t="s">
        <v>664</v>
      </c>
      <c r="C23" s="63" t="s">
        <v>624</v>
      </c>
      <c r="D23" s="63" t="s">
        <v>665</v>
      </c>
    </row>
    <row r="24" spans="1:4" ht="55.05" customHeight="1" x14ac:dyDescent="0.3">
      <c r="A24" s="63" t="s">
        <v>652</v>
      </c>
      <c r="B24" s="63" t="s">
        <v>666</v>
      </c>
      <c r="C24" s="63" t="s">
        <v>637</v>
      </c>
      <c r="D24" s="63" t="s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  <vt:lpstr>7_Stress_Test</vt:lpstr>
      <vt:lpstr>8_AI_Critique_Log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Biển 23021477</cp:lastModifiedBy>
  <dcterms:created xsi:type="dcterms:W3CDTF">2026-08-26T15:07:08Z</dcterms:created>
  <dcterms:modified xsi:type="dcterms:W3CDTF">2026-10-08T11:10:31Z</dcterms:modified>
</cp:coreProperties>
</file>